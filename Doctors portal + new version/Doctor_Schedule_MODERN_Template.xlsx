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ShiftKnowledge" sheetId="2" state="hidden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b val="1"/>
    </font>
    <font>
      <name val="Calibri"/>
      <color rgb="00000000"/>
      <sz val="11"/>
    </font>
    <font>
      <b val="1"/>
      <color rgb="001F4E78"/>
      <sz val="16"/>
    </font>
    <font>
      <sz val="11"/>
    </font>
    <font>
      <b val="1"/>
      <color rgb="001F4E78"/>
      <sz val="12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D32"/>
        <bgColor rgb="002E7D32"/>
      </patternFill>
    </fill>
    <fill>
      <patternFill patternType="solid">
        <fgColor rgb="00F7FFF9"/>
        <bgColor rgb="00F7FF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Continuous" vertical="center"/>
    </xf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cheduleFlat" displayName="ScheduleFlat" ref="A2:M530" headerRowCount="1">
  <autoFilter ref="A2:M530"/>
  <tableColumns count="13">
    <tableColumn id="1" name="Date"/>
    <tableColumn id="2" name="Specialty"/>
    <tableColumn id="3" name="Doctor"/>
    <tableColumn id="4" name="Shift"/>
    <tableColumn id="5" name="Start Time"/>
    <tableColumn id="6" name="Room"/>
    <tableColumn id="7" name="Total Patients"/>
    <tableColumn id="8" name="Before Break OPD Timing"/>
    <tableColumn id="9" name="Before Break OPD Patients"/>
    <tableColumn id="10" name="Breaks"/>
    <tableColumn id="11" name="After Break OPD Timing"/>
    <tableColumn id="12" name="After Break OPD Patients"/>
    <tableColumn id="13" name="Status"/>
  </tableColumns>
  <tableStyleInfo name="TableStyleMedium9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36" customWidth="1" min="3" max="3"/>
    <col width="12" customWidth="1" min="4" max="4"/>
    <col width="11" customWidth="1" min="5" max="5"/>
    <col width="10" customWidth="1" min="6" max="6"/>
    <col width="14" customWidth="1" min="7" max="7"/>
    <col width="19" customWidth="1" min="8" max="8"/>
    <col width="18" customWidth="1" min="9" max="9"/>
    <col width="14" customWidth="1" min="10" max="10"/>
    <col width="19" customWidth="1" min="11" max="11"/>
    <col width="18" customWidth="1" min="12" max="12"/>
    <col width="12" customWidth="1" min="13" max="13"/>
  </cols>
  <sheetData>
    <row r="1" ht="30" customHeight="1">
      <c r="A1" s="1" t="n"/>
      <c r="B1" s="2" t="inlineStr">
        <is>
          <t>Doctor Schedule (Modern Flat) 2025-11-08 to 2025-11-21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4" customHeight="1">
      <c r="A2" s="3" t="inlineStr">
        <is>
          <t>Date</t>
        </is>
      </c>
      <c r="B2" s="3" t="inlineStr">
        <is>
          <t>Specialty</t>
        </is>
      </c>
      <c r="C2" s="3" t="inlineStr">
        <is>
          <t>Doctor</t>
        </is>
      </c>
      <c r="D2" s="3" t="inlineStr">
        <is>
          <t>Shift</t>
        </is>
      </c>
      <c r="E2" s="3" t="inlineStr">
        <is>
          <t>Start Time</t>
        </is>
      </c>
      <c r="F2" s="3" t="inlineStr">
        <is>
          <t>Room</t>
        </is>
      </c>
      <c r="G2" s="3" t="inlineStr">
        <is>
          <t>Total Patients</t>
        </is>
      </c>
      <c r="H2" s="3" t="inlineStr">
        <is>
          <t>Before Break OPD Timing</t>
        </is>
      </c>
      <c r="I2" s="3" t="inlineStr">
        <is>
          <t>Before Break OPD Patients</t>
        </is>
      </c>
      <c r="J2" s="3" t="inlineStr">
        <is>
          <t>Breaks</t>
        </is>
      </c>
      <c r="K2" s="3" t="inlineStr">
        <is>
          <t>After Break OPD Timing</t>
        </is>
      </c>
      <c r="L2" s="3" t="inlineStr">
        <is>
          <t>After Break OPD Patients</t>
        </is>
      </c>
      <c r="M2" s="3" t="inlineStr">
        <is>
          <t>Status</t>
        </is>
      </c>
    </row>
    <row r="3" ht="20" customHeight="1">
      <c r="A3" s="4" t="inlineStr">
        <is>
          <t>08/11/2025</t>
        </is>
      </c>
      <c r="B3" s="4" t="inlineStr">
        <is>
          <t>Orthopaedics</t>
        </is>
      </c>
      <c r="C3" s="5" t="inlineStr">
        <is>
          <t>Dr. Ahmed Azim Abdul Shakoor</t>
        </is>
      </c>
      <c r="D3" s="4" t="inlineStr"/>
      <c r="E3" s="4">
        <f>IF($D3="Custom","",IFERROR(XLOOKUP($B3&amp;"|"&amp;$D3,ShiftKnowledge!$A$2:$A$9,ShiftKnowledge!$D$2:$D$9,""),IFERROR(INDEX(ShiftKnowledge!$D$2:$D$9,MATCH($B3&amp;"|"&amp;$D3,ShiftKnowledge!$A$2:$A$9,0)),"")))</f>
        <v/>
      </c>
      <c r="F3" s="4" t="inlineStr"/>
      <c r="G3" s="4">
        <f>IF(AND($I3="",$L3=""),"",IFERROR(VALUE($I3),0)+IFERROR(VALUE($L3),0))</f>
        <v/>
      </c>
      <c r="H3" s="4">
        <f>IF($D3="Custom","",IFERROR(XLOOKUP($B3&amp;"|"&amp;$D3,ShiftKnowledge!$A$2:$A$9,ShiftKnowledge!$E$2:$E$9,""),IFERROR(INDEX(ShiftKnowledge!$E$2:$E$9,MATCH($B3&amp;"|"&amp;$D3,ShiftKnowledge!$A$2:$A$9,0)),"")))</f>
        <v/>
      </c>
      <c r="I3" s="4">
        <f>IF($D3="Custom","",IFERROR(XLOOKUP($B3&amp;"|"&amp;$D3,ShiftKnowledge!$A$2:$A$9,ShiftKnowledge!$F$2:$F$9,""),IFERROR(INDEX(ShiftKnowledge!$F$2:$F$9,MATCH($B3&amp;"|"&amp;$D3,ShiftKnowledge!$A$2:$A$9,0)),"")))</f>
        <v/>
      </c>
      <c r="J3" s="4">
        <f>IF($D3="Custom","",IFERROR(XLOOKUP($B3&amp;"|"&amp;$D3,ShiftKnowledge!$A$2:$A$9,ShiftKnowledge!$G$2:$G$9,""),IFERROR(INDEX(ShiftKnowledge!$G$2:$G$9,MATCH($B3&amp;"|"&amp;$D3,ShiftKnowledge!$A$2:$A$9,0)),"")))</f>
        <v/>
      </c>
      <c r="K3" s="4">
        <f>IF($D3="Custom","",IFERROR(XLOOKUP($B3&amp;"|"&amp;$D3,ShiftKnowledge!$A$2:$A$9,ShiftKnowledge!$H$2:$H$9,""),IFERROR(INDEX(ShiftKnowledge!$H$2:$H$9,MATCH($B3&amp;"|"&amp;$D3,ShiftKnowledge!$A$2:$A$9,0)),"")))</f>
        <v/>
      </c>
      <c r="L3" s="4">
        <f>IF($D3="Custom","",IFERROR(XLOOKUP($B3&amp;"|"&amp;$D3,ShiftKnowledge!$A$2:$A$9,ShiftKnowledge!$I$2:$I$9,""),IFERROR(INDEX(ShiftKnowledge!$I$2:$I$9,MATCH($B3&amp;"|"&amp;$D3,ShiftKnowledge!$A$2:$A$9,0)),"")))</f>
        <v/>
      </c>
      <c r="M3" s="4" t="inlineStr"/>
    </row>
    <row r="4" ht="20" customHeight="1">
      <c r="A4" s="6" t="inlineStr">
        <is>
          <t>08/11/2025</t>
        </is>
      </c>
      <c r="B4" s="6" t="inlineStr">
        <is>
          <t>Dermatology</t>
        </is>
      </c>
      <c r="C4" s="7" t="inlineStr">
        <is>
          <t>Dr. Ahmed Fekry Bahyeldin Khalafallah</t>
        </is>
      </c>
      <c r="D4" s="6" t="inlineStr"/>
      <c r="E4" s="6">
        <f>IF($D4="Custom","",IFERROR(XLOOKUP($B4&amp;"|"&amp;$D4,ShiftKnowledge!$A$2:$A$9,ShiftKnowledge!$D$2:$D$9,""),IFERROR(INDEX(ShiftKnowledge!$D$2:$D$9,MATCH($B4&amp;"|"&amp;$D4,ShiftKnowledge!$A$2:$A$9,0)),"")))</f>
        <v/>
      </c>
      <c r="F4" s="6" t="inlineStr"/>
      <c r="G4" s="6">
        <f>IF(AND($I4="",$L4=""),"",IFERROR(VALUE($I4),0)+IFERROR(VALUE($L4),0))</f>
        <v/>
      </c>
      <c r="H4" s="6">
        <f>IF($D4="Custom","",IFERROR(XLOOKUP($B4&amp;"|"&amp;$D4,ShiftKnowledge!$A$2:$A$9,ShiftKnowledge!$E$2:$E$9,""),IFERROR(INDEX(ShiftKnowledge!$E$2:$E$9,MATCH($B4&amp;"|"&amp;$D4,ShiftKnowledge!$A$2:$A$9,0)),"")))</f>
        <v/>
      </c>
      <c r="I4" s="6">
        <f>IF($D4="Custom","",IFERROR(XLOOKUP($B4&amp;"|"&amp;$D4,ShiftKnowledge!$A$2:$A$9,ShiftKnowledge!$F$2:$F$9,""),IFERROR(INDEX(ShiftKnowledge!$F$2:$F$9,MATCH($B4&amp;"|"&amp;$D4,ShiftKnowledge!$A$2:$A$9,0)),"")))</f>
        <v/>
      </c>
      <c r="J4" s="6">
        <f>IF($D4="Custom","",IFERROR(XLOOKUP($B4&amp;"|"&amp;$D4,ShiftKnowledge!$A$2:$A$9,ShiftKnowledge!$G$2:$G$9,""),IFERROR(INDEX(ShiftKnowledge!$G$2:$G$9,MATCH($B4&amp;"|"&amp;$D4,ShiftKnowledge!$A$2:$A$9,0)),"")))</f>
        <v/>
      </c>
      <c r="K4" s="6">
        <f>IF($D4="Custom","",IFERROR(XLOOKUP($B4&amp;"|"&amp;$D4,ShiftKnowledge!$A$2:$A$9,ShiftKnowledge!$H$2:$H$9,""),IFERROR(INDEX(ShiftKnowledge!$H$2:$H$9,MATCH($B4&amp;"|"&amp;$D4,ShiftKnowledge!$A$2:$A$9,0)),"")))</f>
        <v/>
      </c>
      <c r="L4" s="6">
        <f>IF($D4="Custom","",IFERROR(XLOOKUP($B4&amp;"|"&amp;$D4,ShiftKnowledge!$A$2:$A$9,ShiftKnowledge!$I$2:$I$9,""),IFERROR(INDEX(ShiftKnowledge!$I$2:$I$9,MATCH($B4&amp;"|"&amp;$D4,ShiftKnowledge!$A$2:$A$9,0)),"")))</f>
        <v/>
      </c>
      <c r="M4" s="6" t="inlineStr"/>
    </row>
    <row r="5" ht="20" customHeight="1">
      <c r="A5" s="4" t="inlineStr">
        <is>
          <t>08/11/2025</t>
        </is>
      </c>
      <c r="B5" s="4" t="inlineStr">
        <is>
          <t>Pulmonology</t>
        </is>
      </c>
      <c r="C5" s="5" t="inlineStr">
        <is>
          <t>Dr. Ahmed Gamal Youssef Meselhi</t>
        </is>
      </c>
      <c r="D5" s="4" t="inlineStr"/>
      <c r="E5" s="4">
        <f>IF($D5="Custom","",IFERROR(XLOOKUP($B5&amp;"|"&amp;$D5,ShiftKnowledge!$A$2:$A$9,ShiftKnowledge!$D$2:$D$9,""),IFERROR(INDEX(ShiftKnowledge!$D$2:$D$9,MATCH($B5&amp;"|"&amp;$D5,ShiftKnowledge!$A$2:$A$9,0)),"")))</f>
        <v/>
      </c>
      <c r="F5" s="4" t="inlineStr"/>
      <c r="G5" s="4">
        <f>IF(AND($I5="",$L5=""),"",IFERROR(VALUE($I5),0)+IFERROR(VALUE($L5),0))</f>
        <v/>
      </c>
      <c r="H5" s="4">
        <f>IF($D5="Custom","",IFERROR(XLOOKUP($B5&amp;"|"&amp;$D5,ShiftKnowledge!$A$2:$A$9,ShiftKnowledge!$E$2:$E$9,""),IFERROR(INDEX(ShiftKnowledge!$E$2:$E$9,MATCH($B5&amp;"|"&amp;$D5,ShiftKnowledge!$A$2:$A$9,0)),"")))</f>
        <v/>
      </c>
      <c r="I5" s="4">
        <f>IF($D5="Custom","",IFERROR(XLOOKUP($B5&amp;"|"&amp;$D5,ShiftKnowledge!$A$2:$A$9,ShiftKnowledge!$F$2:$F$9,""),IFERROR(INDEX(ShiftKnowledge!$F$2:$F$9,MATCH($B5&amp;"|"&amp;$D5,ShiftKnowledge!$A$2:$A$9,0)),"")))</f>
        <v/>
      </c>
      <c r="J5" s="4">
        <f>IF($D5="Custom","",IFERROR(XLOOKUP($B5&amp;"|"&amp;$D5,ShiftKnowledge!$A$2:$A$9,ShiftKnowledge!$G$2:$G$9,""),IFERROR(INDEX(ShiftKnowledge!$G$2:$G$9,MATCH($B5&amp;"|"&amp;$D5,ShiftKnowledge!$A$2:$A$9,0)),"")))</f>
        <v/>
      </c>
      <c r="K5" s="4">
        <f>IF($D5="Custom","",IFERROR(XLOOKUP($B5&amp;"|"&amp;$D5,ShiftKnowledge!$A$2:$A$9,ShiftKnowledge!$H$2:$H$9,""),IFERROR(INDEX(ShiftKnowledge!$H$2:$H$9,MATCH($B5&amp;"|"&amp;$D5,ShiftKnowledge!$A$2:$A$9,0)),"")))</f>
        <v/>
      </c>
      <c r="L5" s="4">
        <f>IF($D5="Custom","",IFERROR(XLOOKUP($B5&amp;"|"&amp;$D5,ShiftKnowledge!$A$2:$A$9,ShiftKnowledge!$I$2:$I$9,""),IFERROR(INDEX(ShiftKnowledge!$I$2:$I$9,MATCH($B5&amp;"|"&amp;$D5,ShiftKnowledge!$A$2:$A$9,0)),"")))</f>
        <v/>
      </c>
      <c r="M5" s="4" t="inlineStr"/>
    </row>
    <row r="6" ht="20" customHeight="1">
      <c r="A6" s="6" t="inlineStr">
        <is>
          <t>08/11/2025</t>
        </is>
      </c>
      <c r="B6" s="6" t="inlineStr">
        <is>
          <t>Dental</t>
        </is>
      </c>
      <c r="C6" s="7" t="inlineStr">
        <is>
          <t>Dr. Aishath Suha Ali</t>
        </is>
      </c>
      <c r="D6" s="6" t="inlineStr"/>
      <c r="E6" s="6">
        <f>IF($D6="Custom","",IFERROR(XLOOKUP($B6&amp;"|"&amp;$D6,ShiftKnowledge!$A$2:$A$9,ShiftKnowledge!$D$2:$D$9,""),IFERROR(INDEX(ShiftKnowledge!$D$2:$D$9,MATCH($B6&amp;"|"&amp;$D6,ShiftKnowledge!$A$2:$A$9,0)),"")))</f>
        <v/>
      </c>
      <c r="F6" s="6" t="inlineStr"/>
      <c r="G6" s="6">
        <f>IF(AND($I6="",$L6=""),"",IFERROR(VALUE($I6),0)+IFERROR(VALUE($L6),0))</f>
        <v/>
      </c>
      <c r="H6" s="6">
        <f>IF($D6="Custom","",IFERROR(XLOOKUP($B6&amp;"|"&amp;$D6,ShiftKnowledge!$A$2:$A$9,ShiftKnowledge!$E$2:$E$9,""),IFERROR(INDEX(ShiftKnowledge!$E$2:$E$9,MATCH($B6&amp;"|"&amp;$D6,ShiftKnowledge!$A$2:$A$9,0)),"")))</f>
        <v/>
      </c>
      <c r="I6" s="6">
        <f>IF($D6="Custom","",IFERROR(XLOOKUP($B6&amp;"|"&amp;$D6,ShiftKnowledge!$A$2:$A$9,ShiftKnowledge!$F$2:$F$9,""),IFERROR(INDEX(ShiftKnowledge!$F$2:$F$9,MATCH($B6&amp;"|"&amp;$D6,ShiftKnowledge!$A$2:$A$9,0)),"")))</f>
        <v/>
      </c>
      <c r="J6" s="6">
        <f>IF($D6="Custom","",IFERROR(XLOOKUP($B6&amp;"|"&amp;$D6,ShiftKnowledge!$A$2:$A$9,ShiftKnowledge!$G$2:$G$9,""),IFERROR(INDEX(ShiftKnowledge!$G$2:$G$9,MATCH($B6&amp;"|"&amp;$D6,ShiftKnowledge!$A$2:$A$9,0)),"")))</f>
        <v/>
      </c>
      <c r="K6" s="6">
        <f>IF($D6="Custom","",IFERROR(XLOOKUP($B6&amp;"|"&amp;$D6,ShiftKnowledge!$A$2:$A$9,ShiftKnowledge!$H$2:$H$9,""),IFERROR(INDEX(ShiftKnowledge!$H$2:$H$9,MATCH($B6&amp;"|"&amp;$D6,ShiftKnowledge!$A$2:$A$9,0)),"")))</f>
        <v/>
      </c>
      <c r="L6" s="6">
        <f>IF($D6="Custom","",IFERROR(XLOOKUP($B6&amp;"|"&amp;$D6,ShiftKnowledge!$A$2:$A$9,ShiftKnowledge!$I$2:$I$9,""),IFERROR(INDEX(ShiftKnowledge!$I$2:$I$9,MATCH($B6&amp;"|"&amp;$D6,ShiftKnowledge!$A$2:$A$9,0)),"")))</f>
        <v/>
      </c>
      <c r="M6" s="6" t="inlineStr"/>
    </row>
    <row r="7" ht="20" customHeight="1">
      <c r="A7" s="4" t="inlineStr">
        <is>
          <t>08/11/2025</t>
        </is>
      </c>
      <c r="B7" s="4" t="inlineStr">
        <is>
          <t>Paediatrics</t>
        </is>
      </c>
      <c r="C7" s="5" t="inlineStr">
        <is>
          <t>Dr. Alaa Adel Ahmed Sayed Ahmed Sobeih Elamawey</t>
        </is>
      </c>
      <c r="D7" s="4" t="inlineStr"/>
      <c r="E7" s="4">
        <f>IF($D7="Custom","",IFERROR(XLOOKUP($B7&amp;"|"&amp;$D7,ShiftKnowledge!$A$2:$A$9,ShiftKnowledge!$D$2:$D$9,""),IFERROR(INDEX(ShiftKnowledge!$D$2:$D$9,MATCH($B7&amp;"|"&amp;$D7,ShiftKnowledge!$A$2:$A$9,0)),"")))</f>
        <v/>
      </c>
      <c r="F7" s="4" t="inlineStr"/>
      <c r="G7" s="4">
        <f>IF(AND($I7="",$L7=""),"",IFERROR(VALUE($I7),0)+IFERROR(VALUE($L7),0))</f>
        <v/>
      </c>
      <c r="H7" s="4">
        <f>IF($D7="Custom","",IFERROR(XLOOKUP($B7&amp;"|"&amp;$D7,ShiftKnowledge!$A$2:$A$9,ShiftKnowledge!$E$2:$E$9,""),IFERROR(INDEX(ShiftKnowledge!$E$2:$E$9,MATCH($B7&amp;"|"&amp;$D7,ShiftKnowledge!$A$2:$A$9,0)),"")))</f>
        <v/>
      </c>
      <c r="I7" s="4">
        <f>IF($D7="Custom","",IFERROR(XLOOKUP($B7&amp;"|"&amp;$D7,ShiftKnowledge!$A$2:$A$9,ShiftKnowledge!$F$2:$F$9,""),IFERROR(INDEX(ShiftKnowledge!$F$2:$F$9,MATCH($B7&amp;"|"&amp;$D7,ShiftKnowledge!$A$2:$A$9,0)),"")))</f>
        <v/>
      </c>
      <c r="J7" s="4">
        <f>IF($D7="Custom","",IFERROR(XLOOKUP($B7&amp;"|"&amp;$D7,ShiftKnowledge!$A$2:$A$9,ShiftKnowledge!$G$2:$G$9,""),IFERROR(INDEX(ShiftKnowledge!$G$2:$G$9,MATCH($B7&amp;"|"&amp;$D7,ShiftKnowledge!$A$2:$A$9,0)),"")))</f>
        <v/>
      </c>
      <c r="K7" s="4">
        <f>IF($D7="Custom","",IFERROR(XLOOKUP($B7&amp;"|"&amp;$D7,ShiftKnowledge!$A$2:$A$9,ShiftKnowledge!$H$2:$H$9,""),IFERROR(INDEX(ShiftKnowledge!$H$2:$H$9,MATCH($B7&amp;"|"&amp;$D7,ShiftKnowledge!$A$2:$A$9,0)),"")))</f>
        <v/>
      </c>
      <c r="L7" s="4">
        <f>IF($D7="Custom","",IFERROR(XLOOKUP($B7&amp;"|"&amp;$D7,ShiftKnowledge!$A$2:$A$9,ShiftKnowledge!$I$2:$I$9,""),IFERROR(INDEX(ShiftKnowledge!$I$2:$I$9,MATCH($B7&amp;"|"&amp;$D7,ShiftKnowledge!$A$2:$A$9,0)),"")))</f>
        <v/>
      </c>
      <c r="M7" s="4" t="inlineStr"/>
    </row>
    <row r="8" ht="20" customHeight="1">
      <c r="A8" s="6" t="inlineStr">
        <is>
          <t>08/11/2025</t>
        </is>
      </c>
      <c r="B8" s="6" t="inlineStr">
        <is>
          <t>Paediatrics</t>
        </is>
      </c>
      <c r="C8" s="7" t="inlineStr">
        <is>
          <t>Dr. Alisha Joshi</t>
        </is>
      </c>
      <c r="D8" s="6" t="inlineStr"/>
      <c r="E8" s="6">
        <f>IF($D8="Custom","",IFERROR(XLOOKUP($B8&amp;"|"&amp;$D8,ShiftKnowledge!$A$2:$A$9,ShiftKnowledge!$D$2:$D$9,""),IFERROR(INDEX(ShiftKnowledge!$D$2:$D$9,MATCH($B8&amp;"|"&amp;$D8,ShiftKnowledge!$A$2:$A$9,0)),"")))</f>
        <v/>
      </c>
      <c r="F8" s="6" t="inlineStr"/>
      <c r="G8" s="6">
        <f>IF(AND($I8="",$L8=""),"",IFERROR(VALUE($I8),0)+IFERROR(VALUE($L8),0))</f>
        <v/>
      </c>
      <c r="H8" s="6">
        <f>IF($D8="Custom","",IFERROR(XLOOKUP($B8&amp;"|"&amp;$D8,ShiftKnowledge!$A$2:$A$9,ShiftKnowledge!$E$2:$E$9,""),IFERROR(INDEX(ShiftKnowledge!$E$2:$E$9,MATCH($B8&amp;"|"&amp;$D8,ShiftKnowledge!$A$2:$A$9,0)),"")))</f>
        <v/>
      </c>
      <c r="I8" s="6">
        <f>IF($D8="Custom","",IFERROR(XLOOKUP($B8&amp;"|"&amp;$D8,ShiftKnowledge!$A$2:$A$9,ShiftKnowledge!$F$2:$F$9,""),IFERROR(INDEX(ShiftKnowledge!$F$2:$F$9,MATCH($B8&amp;"|"&amp;$D8,ShiftKnowledge!$A$2:$A$9,0)),"")))</f>
        <v/>
      </c>
      <c r="J8" s="6">
        <f>IF($D8="Custom","",IFERROR(XLOOKUP($B8&amp;"|"&amp;$D8,ShiftKnowledge!$A$2:$A$9,ShiftKnowledge!$G$2:$G$9,""),IFERROR(INDEX(ShiftKnowledge!$G$2:$G$9,MATCH($B8&amp;"|"&amp;$D8,ShiftKnowledge!$A$2:$A$9,0)),"")))</f>
        <v/>
      </c>
      <c r="K8" s="6">
        <f>IF($D8="Custom","",IFERROR(XLOOKUP($B8&amp;"|"&amp;$D8,ShiftKnowledge!$A$2:$A$9,ShiftKnowledge!$H$2:$H$9,""),IFERROR(INDEX(ShiftKnowledge!$H$2:$H$9,MATCH($B8&amp;"|"&amp;$D8,ShiftKnowledge!$A$2:$A$9,0)),"")))</f>
        <v/>
      </c>
      <c r="L8" s="6">
        <f>IF($D8="Custom","",IFERROR(XLOOKUP($B8&amp;"|"&amp;$D8,ShiftKnowledge!$A$2:$A$9,ShiftKnowledge!$I$2:$I$9,""),IFERROR(INDEX(ShiftKnowledge!$I$2:$I$9,MATCH($B8&amp;"|"&amp;$D8,ShiftKnowledge!$A$2:$A$9,0)),"")))</f>
        <v/>
      </c>
      <c r="M8" s="6" t="inlineStr"/>
    </row>
    <row r="9" ht="20" customHeight="1">
      <c r="A9" s="4" t="inlineStr">
        <is>
          <t>08/11/2025</t>
        </is>
      </c>
      <c r="B9" s="4" t="inlineStr">
        <is>
          <t>Dental</t>
        </is>
      </c>
      <c r="C9" s="5" t="inlineStr">
        <is>
          <t>Dr. Aminath Dhunyana</t>
        </is>
      </c>
      <c r="D9" s="4" t="inlineStr"/>
      <c r="E9" s="4">
        <f>IF($D9="Custom","",IFERROR(XLOOKUP($B9&amp;"|"&amp;$D9,ShiftKnowledge!$A$2:$A$9,ShiftKnowledge!$D$2:$D$9,""),IFERROR(INDEX(ShiftKnowledge!$D$2:$D$9,MATCH($B9&amp;"|"&amp;$D9,ShiftKnowledge!$A$2:$A$9,0)),"")))</f>
        <v/>
      </c>
      <c r="F9" s="4" t="inlineStr"/>
      <c r="G9" s="4">
        <f>IF(AND($I9="",$L9=""),"",IFERROR(VALUE($I9),0)+IFERROR(VALUE($L9),0))</f>
        <v/>
      </c>
      <c r="H9" s="4">
        <f>IF($D9="Custom","",IFERROR(XLOOKUP($B9&amp;"|"&amp;$D9,ShiftKnowledge!$A$2:$A$9,ShiftKnowledge!$E$2:$E$9,""),IFERROR(INDEX(ShiftKnowledge!$E$2:$E$9,MATCH($B9&amp;"|"&amp;$D9,ShiftKnowledge!$A$2:$A$9,0)),"")))</f>
        <v/>
      </c>
      <c r="I9" s="4">
        <f>IF($D9="Custom","",IFERROR(XLOOKUP($B9&amp;"|"&amp;$D9,ShiftKnowledge!$A$2:$A$9,ShiftKnowledge!$F$2:$F$9,""),IFERROR(INDEX(ShiftKnowledge!$F$2:$F$9,MATCH($B9&amp;"|"&amp;$D9,ShiftKnowledge!$A$2:$A$9,0)),"")))</f>
        <v/>
      </c>
      <c r="J9" s="4">
        <f>IF($D9="Custom","",IFERROR(XLOOKUP($B9&amp;"|"&amp;$D9,ShiftKnowledge!$A$2:$A$9,ShiftKnowledge!$G$2:$G$9,""),IFERROR(INDEX(ShiftKnowledge!$G$2:$G$9,MATCH($B9&amp;"|"&amp;$D9,ShiftKnowledge!$A$2:$A$9,0)),"")))</f>
        <v/>
      </c>
      <c r="K9" s="4">
        <f>IF($D9="Custom","",IFERROR(XLOOKUP($B9&amp;"|"&amp;$D9,ShiftKnowledge!$A$2:$A$9,ShiftKnowledge!$H$2:$H$9,""),IFERROR(INDEX(ShiftKnowledge!$H$2:$H$9,MATCH($B9&amp;"|"&amp;$D9,ShiftKnowledge!$A$2:$A$9,0)),"")))</f>
        <v/>
      </c>
      <c r="L9" s="4">
        <f>IF($D9="Custom","",IFERROR(XLOOKUP($B9&amp;"|"&amp;$D9,ShiftKnowledge!$A$2:$A$9,ShiftKnowledge!$I$2:$I$9,""),IFERROR(INDEX(ShiftKnowledge!$I$2:$I$9,MATCH($B9&amp;"|"&amp;$D9,ShiftKnowledge!$A$2:$A$9,0)),"")))</f>
        <v/>
      </c>
      <c r="M9" s="4" t="inlineStr"/>
    </row>
    <row r="10" ht="20" customHeight="1">
      <c r="A10" s="6" t="inlineStr">
        <is>
          <t>08/11/2025</t>
        </is>
      </c>
      <c r="B10" s="6" t="inlineStr">
        <is>
          <t>Gynaecology</t>
        </is>
      </c>
      <c r="C10" s="7" t="inlineStr">
        <is>
          <t>Dr. Aminath Juhaina</t>
        </is>
      </c>
      <c r="D10" s="6" t="inlineStr"/>
      <c r="E10" s="6">
        <f>IF($D10="Custom","",IFERROR(XLOOKUP($B10&amp;"|"&amp;$D10,ShiftKnowledge!$A$2:$A$9,ShiftKnowledge!$D$2:$D$9,""),IFERROR(INDEX(ShiftKnowledge!$D$2:$D$9,MATCH($B10&amp;"|"&amp;$D10,ShiftKnowledge!$A$2:$A$9,0)),"")))</f>
        <v/>
      </c>
      <c r="F10" s="6" t="inlineStr"/>
      <c r="G10" s="6">
        <f>IF(AND($I10="",$L10=""),"",IFERROR(VALUE($I10),0)+IFERROR(VALUE($L10),0))</f>
        <v/>
      </c>
      <c r="H10" s="6">
        <f>IF($D10="Custom","",IFERROR(XLOOKUP($B10&amp;"|"&amp;$D10,ShiftKnowledge!$A$2:$A$9,ShiftKnowledge!$E$2:$E$9,""),IFERROR(INDEX(ShiftKnowledge!$E$2:$E$9,MATCH($B10&amp;"|"&amp;$D10,ShiftKnowledge!$A$2:$A$9,0)),"")))</f>
        <v/>
      </c>
      <c r="I10" s="6">
        <f>IF($D10="Custom","",IFERROR(XLOOKUP($B10&amp;"|"&amp;$D10,ShiftKnowledge!$A$2:$A$9,ShiftKnowledge!$F$2:$F$9,""),IFERROR(INDEX(ShiftKnowledge!$F$2:$F$9,MATCH($B10&amp;"|"&amp;$D10,ShiftKnowledge!$A$2:$A$9,0)),"")))</f>
        <v/>
      </c>
      <c r="J10" s="6">
        <f>IF($D10="Custom","",IFERROR(XLOOKUP($B10&amp;"|"&amp;$D10,ShiftKnowledge!$A$2:$A$9,ShiftKnowledge!$G$2:$G$9,""),IFERROR(INDEX(ShiftKnowledge!$G$2:$G$9,MATCH($B10&amp;"|"&amp;$D10,ShiftKnowledge!$A$2:$A$9,0)),"")))</f>
        <v/>
      </c>
      <c r="K10" s="6">
        <f>IF($D10="Custom","",IFERROR(XLOOKUP($B10&amp;"|"&amp;$D10,ShiftKnowledge!$A$2:$A$9,ShiftKnowledge!$H$2:$H$9,""),IFERROR(INDEX(ShiftKnowledge!$H$2:$H$9,MATCH($B10&amp;"|"&amp;$D10,ShiftKnowledge!$A$2:$A$9,0)),"")))</f>
        <v/>
      </c>
      <c r="L10" s="6">
        <f>IF($D10="Custom","",IFERROR(XLOOKUP($B10&amp;"|"&amp;$D10,ShiftKnowledge!$A$2:$A$9,ShiftKnowledge!$I$2:$I$9,""),IFERROR(INDEX(ShiftKnowledge!$I$2:$I$9,MATCH($B10&amp;"|"&amp;$D10,ShiftKnowledge!$A$2:$A$9,0)),"")))</f>
        <v/>
      </c>
      <c r="M10" s="6" t="inlineStr"/>
    </row>
    <row r="11" ht="20" customHeight="1">
      <c r="A11" s="4" t="inlineStr">
        <is>
          <t>08/11/2025</t>
        </is>
      </c>
      <c r="B11" s="4" t="inlineStr">
        <is>
          <t>Dental</t>
        </is>
      </c>
      <c r="C11" s="5" t="inlineStr">
        <is>
          <t>Dr. Aminath Khazna Musthafa</t>
        </is>
      </c>
      <c r="D11" s="4" t="inlineStr"/>
      <c r="E11" s="4">
        <f>IF($D11="Custom","",IFERROR(XLOOKUP($B11&amp;"|"&amp;$D11,ShiftKnowledge!$A$2:$A$9,ShiftKnowledge!$D$2:$D$9,""),IFERROR(INDEX(ShiftKnowledge!$D$2:$D$9,MATCH($B11&amp;"|"&amp;$D11,ShiftKnowledge!$A$2:$A$9,0)),"")))</f>
        <v/>
      </c>
      <c r="F11" s="4" t="inlineStr"/>
      <c r="G11" s="4">
        <f>IF(AND($I11="",$L11=""),"",IFERROR(VALUE($I11),0)+IFERROR(VALUE($L11),0))</f>
        <v/>
      </c>
      <c r="H11" s="4">
        <f>IF($D11="Custom","",IFERROR(XLOOKUP($B11&amp;"|"&amp;$D11,ShiftKnowledge!$A$2:$A$9,ShiftKnowledge!$E$2:$E$9,""),IFERROR(INDEX(ShiftKnowledge!$E$2:$E$9,MATCH($B11&amp;"|"&amp;$D11,ShiftKnowledge!$A$2:$A$9,0)),"")))</f>
        <v/>
      </c>
      <c r="I11" s="4">
        <f>IF($D11="Custom","",IFERROR(XLOOKUP($B11&amp;"|"&amp;$D11,ShiftKnowledge!$A$2:$A$9,ShiftKnowledge!$F$2:$F$9,""),IFERROR(INDEX(ShiftKnowledge!$F$2:$F$9,MATCH($B11&amp;"|"&amp;$D11,ShiftKnowledge!$A$2:$A$9,0)),"")))</f>
        <v/>
      </c>
      <c r="J11" s="4">
        <f>IF($D11="Custom","",IFERROR(XLOOKUP($B11&amp;"|"&amp;$D11,ShiftKnowledge!$A$2:$A$9,ShiftKnowledge!$G$2:$G$9,""),IFERROR(INDEX(ShiftKnowledge!$G$2:$G$9,MATCH($B11&amp;"|"&amp;$D11,ShiftKnowledge!$A$2:$A$9,0)),"")))</f>
        <v/>
      </c>
      <c r="K11" s="4">
        <f>IF($D11="Custom","",IFERROR(XLOOKUP($B11&amp;"|"&amp;$D11,ShiftKnowledge!$A$2:$A$9,ShiftKnowledge!$H$2:$H$9,""),IFERROR(INDEX(ShiftKnowledge!$H$2:$H$9,MATCH($B11&amp;"|"&amp;$D11,ShiftKnowledge!$A$2:$A$9,0)),"")))</f>
        <v/>
      </c>
      <c r="L11" s="4">
        <f>IF($D11="Custom","",IFERROR(XLOOKUP($B11&amp;"|"&amp;$D11,ShiftKnowledge!$A$2:$A$9,ShiftKnowledge!$I$2:$I$9,""),IFERROR(INDEX(ShiftKnowledge!$I$2:$I$9,MATCH($B11&amp;"|"&amp;$D11,ShiftKnowledge!$A$2:$A$9,0)),"")))</f>
        <v/>
      </c>
      <c r="M11" s="4" t="inlineStr"/>
    </row>
    <row r="12" ht="20" customHeight="1">
      <c r="A12" s="6" t="inlineStr">
        <is>
          <t>08/11/2025</t>
        </is>
      </c>
      <c r="B12" s="6" t="inlineStr">
        <is>
          <t>Internal Medicine</t>
        </is>
      </c>
      <c r="C12" s="7" t="inlineStr">
        <is>
          <t>Dr. Aminath Munaza</t>
        </is>
      </c>
      <c r="D12" s="6" t="inlineStr"/>
      <c r="E12" s="6">
        <f>IF($D12="Custom","",IFERROR(XLOOKUP($B12&amp;"|"&amp;$D12,ShiftKnowledge!$A$2:$A$9,ShiftKnowledge!$D$2:$D$9,""),IFERROR(INDEX(ShiftKnowledge!$D$2:$D$9,MATCH($B12&amp;"|"&amp;$D12,ShiftKnowledge!$A$2:$A$9,0)),"")))</f>
        <v/>
      </c>
      <c r="F12" s="6" t="inlineStr"/>
      <c r="G12" s="6">
        <f>IF(AND($I12="",$L12=""),"",IFERROR(VALUE($I12),0)+IFERROR(VALUE($L12),0))</f>
        <v/>
      </c>
      <c r="H12" s="6">
        <f>IF($D12="Custom","",IFERROR(XLOOKUP($B12&amp;"|"&amp;$D12,ShiftKnowledge!$A$2:$A$9,ShiftKnowledge!$E$2:$E$9,""),IFERROR(INDEX(ShiftKnowledge!$E$2:$E$9,MATCH($B12&amp;"|"&amp;$D12,ShiftKnowledge!$A$2:$A$9,0)),"")))</f>
        <v/>
      </c>
      <c r="I12" s="6">
        <f>IF($D12="Custom","",IFERROR(XLOOKUP($B12&amp;"|"&amp;$D12,ShiftKnowledge!$A$2:$A$9,ShiftKnowledge!$F$2:$F$9,""),IFERROR(INDEX(ShiftKnowledge!$F$2:$F$9,MATCH($B12&amp;"|"&amp;$D12,ShiftKnowledge!$A$2:$A$9,0)),"")))</f>
        <v/>
      </c>
      <c r="J12" s="6">
        <f>IF($D12="Custom","",IFERROR(XLOOKUP($B12&amp;"|"&amp;$D12,ShiftKnowledge!$A$2:$A$9,ShiftKnowledge!$G$2:$G$9,""),IFERROR(INDEX(ShiftKnowledge!$G$2:$G$9,MATCH($B12&amp;"|"&amp;$D12,ShiftKnowledge!$A$2:$A$9,0)),"")))</f>
        <v/>
      </c>
      <c r="K12" s="6">
        <f>IF($D12="Custom","",IFERROR(XLOOKUP($B12&amp;"|"&amp;$D12,ShiftKnowledge!$A$2:$A$9,ShiftKnowledge!$H$2:$H$9,""),IFERROR(INDEX(ShiftKnowledge!$H$2:$H$9,MATCH($B12&amp;"|"&amp;$D12,ShiftKnowledge!$A$2:$A$9,0)),"")))</f>
        <v/>
      </c>
      <c r="L12" s="6">
        <f>IF($D12="Custom","",IFERROR(XLOOKUP($B12&amp;"|"&amp;$D12,ShiftKnowledge!$A$2:$A$9,ShiftKnowledge!$I$2:$I$9,""),IFERROR(INDEX(ShiftKnowledge!$I$2:$I$9,MATCH($B12&amp;"|"&amp;$D12,ShiftKnowledge!$A$2:$A$9,0)),"")))</f>
        <v/>
      </c>
      <c r="M12" s="6" t="inlineStr"/>
    </row>
    <row r="13" ht="20" customHeight="1">
      <c r="A13" s="4" t="inlineStr">
        <is>
          <t>08/11/2025</t>
        </is>
      </c>
      <c r="B13" s="4" t="inlineStr">
        <is>
          <t>Psychiatry</t>
        </is>
      </c>
      <c r="C13" s="5" t="inlineStr">
        <is>
          <t>Dr. Anas Mohamed Anwar Ahmed Ali</t>
        </is>
      </c>
      <c r="D13" s="4" t="inlineStr"/>
      <c r="E13" s="4">
        <f>IF($D13="Custom","",IFERROR(XLOOKUP($B13&amp;"|"&amp;$D13,ShiftKnowledge!$A$2:$A$9,ShiftKnowledge!$D$2:$D$9,""),IFERROR(INDEX(ShiftKnowledge!$D$2:$D$9,MATCH($B13&amp;"|"&amp;$D13,ShiftKnowledge!$A$2:$A$9,0)),"")))</f>
        <v/>
      </c>
      <c r="F13" s="4" t="inlineStr"/>
      <c r="G13" s="4">
        <f>IF(AND($I13="",$L13=""),"",IFERROR(VALUE($I13),0)+IFERROR(VALUE($L13),0))</f>
        <v/>
      </c>
      <c r="H13" s="4">
        <f>IF($D13="Custom","",IFERROR(XLOOKUP($B13&amp;"|"&amp;$D13,ShiftKnowledge!$A$2:$A$9,ShiftKnowledge!$E$2:$E$9,""),IFERROR(INDEX(ShiftKnowledge!$E$2:$E$9,MATCH($B13&amp;"|"&amp;$D13,ShiftKnowledge!$A$2:$A$9,0)),"")))</f>
        <v/>
      </c>
      <c r="I13" s="4">
        <f>IF($D13="Custom","",IFERROR(XLOOKUP($B13&amp;"|"&amp;$D13,ShiftKnowledge!$A$2:$A$9,ShiftKnowledge!$F$2:$F$9,""),IFERROR(INDEX(ShiftKnowledge!$F$2:$F$9,MATCH($B13&amp;"|"&amp;$D13,ShiftKnowledge!$A$2:$A$9,0)),"")))</f>
        <v/>
      </c>
      <c r="J13" s="4">
        <f>IF($D13="Custom","",IFERROR(XLOOKUP($B13&amp;"|"&amp;$D13,ShiftKnowledge!$A$2:$A$9,ShiftKnowledge!$G$2:$G$9,""),IFERROR(INDEX(ShiftKnowledge!$G$2:$G$9,MATCH($B13&amp;"|"&amp;$D13,ShiftKnowledge!$A$2:$A$9,0)),"")))</f>
        <v/>
      </c>
      <c r="K13" s="4">
        <f>IF($D13="Custom","",IFERROR(XLOOKUP($B13&amp;"|"&amp;$D13,ShiftKnowledge!$A$2:$A$9,ShiftKnowledge!$H$2:$H$9,""),IFERROR(INDEX(ShiftKnowledge!$H$2:$H$9,MATCH($B13&amp;"|"&amp;$D13,ShiftKnowledge!$A$2:$A$9,0)),"")))</f>
        <v/>
      </c>
      <c r="L13" s="4">
        <f>IF($D13="Custom","",IFERROR(XLOOKUP($B13&amp;"|"&amp;$D13,ShiftKnowledge!$A$2:$A$9,ShiftKnowledge!$I$2:$I$9,""),IFERROR(INDEX(ShiftKnowledge!$I$2:$I$9,MATCH($B13&amp;"|"&amp;$D13,ShiftKnowledge!$A$2:$A$9,0)),"")))</f>
        <v/>
      </c>
      <c r="M13" s="4" t="inlineStr"/>
    </row>
    <row r="14" ht="20" customHeight="1">
      <c r="A14" s="6" t="inlineStr">
        <is>
          <t>08/11/2025</t>
        </is>
      </c>
      <c r="B14" s="6" t="inlineStr">
        <is>
          <t>Oral Maxillo facial surgery (OMS)</t>
        </is>
      </c>
      <c r="C14" s="7" t="inlineStr">
        <is>
          <t>Dr. Arpita Singh</t>
        </is>
      </c>
      <c r="D14" s="6" t="inlineStr"/>
      <c r="E14" s="6">
        <f>IF($D14="Custom","",IFERROR(XLOOKUP($B14&amp;"|"&amp;$D14,ShiftKnowledge!$A$2:$A$9,ShiftKnowledge!$D$2:$D$9,""),IFERROR(INDEX(ShiftKnowledge!$D$2:$D$9,MATCH($B14&amp;"|"&amp;$D14,ShiftKnowledge!$A$2:$A$9,0)),"")))</f>
        <v/>
      </c>
      <c r="F14" s="6" t="inlineStr"/>
      <c r="G14" s="6">
        <f>IF(AND($I14="",$L14=""),"",IFERROR(VALUE($I14),0)+IFERROR(VALUE($L14),0))</f>
        <v/>
      </c>
      <c r="H14" s="6">
        <f>IF($D14="Custom","",IFERROR(XLOOKUP($B14&amp;"|"&amp;$D14,ShiftKnowledge!$A$2:$A$9,ShiftKnowledge!$E$2:$E$9,""),IFERROR(INDEX(ShiftKnowledge!$E$2:$E$9,MATCH($B14&amp;"|"&amp;$D14,ShiftKnowledge!$A$2:$A$9,0)),"")))</f>
        <v/>
      </c>
      <c r="I14" s="6">
        <f>IF($D14="Custom","",IFERROR(XLOOKUP($B14&amp;"|"&amp;$D14,ShiftKnowledge!$A$2:$A$9,ShiftKnowledge!$F$2:$F$9,""),IFERROR(INDEX(ShiftKnowledge!$F$2:$F$9,MATCH($B14&amp;"|"&amp;$D14,ShiftKnowledge!$A$2:$A$9,0)),"")))</f>
        <v/>
      </c>
      <c r="J14" s="6">
        <f>IF($D14="Custom","",IFERROR(XLOOKUP($B14&amp;"|"&amp;$D14,ShiftKnowledge!$A$2:$A$9,ShiftKnowledge!$G$2:$G$9,""),IFERROR(INDEX(ShiftKnowledge!$G$2:$G$9,MATCH($B14&amp;"|"&amp;$D14,ShiftKnowledge!$A$2:$A$9,0)),"")))</f>
        <v/>
      </c>
      <c r="K14" s="6">
        <f>IF($D14="Custom","",IFERROR(XLOOKUP($B14&amp;"|"&amp;$D14,ShiftKnowledge!$A$2:$A$9,ShiftKnowledge!$H$2:$H$9,""),IFERROR(INDEX(ShiftKnowledge!$H$2:$H$9,MATCH($B14&amp;"|"&amp;$D14,ShiftKnowledge!$A$2:$A$9,0)),"")))</f>
        <v/>
      </c>
      <c r="L14" s="6">
        <f>IF($D14="Custom","",IFERROR(XLOOKUP($B14&amp;"|"&amp;$D14,ShiftKnowledge!$A$2:$A$9,ShiftKnowledge!$I$2:$I$9,""),IFERROR(INDEX(ShiftKnowledge!$I$2:$I$9,MATCH($B14&amp;"|"&amp;$D14,ShiftKnowledge!$A$2:$A$9,0)),"")))</f>
        <v/>
      </c>
      <c r="M14" s="6" t="inlineStr"/>
    </row>
    <row r="15" ht="20" customHeight="1">
      <c r="A15" s="4" t="inlineStr">
        <is>
          <t>08/11/2025</t>
        </is>
      </c>
      <c r="B15" s="4" t="inlineStr">
        <is>
          <t>Orthopaedics</t>
        </is>
      </c>
      <c r="C15" s="5" t="inlineStr">
        <is>
          <t>Dr. Asish Rajak</t>
        </is>
      </c>
      <c r="D15" s="4" t="inlineStr"/>
      <c r="E15" s="4">
        <f>IF($D15="Custom","",IFERROR(XLOOKUP($B15&amp;"|"&amp;$D15,ShiftKnowledge!$A$2:$A$9,ShiftKnowledge!$D$2:$D$9,""),IFERROR(INDEX(ShiftKnowledge!$D$2:$D$9,MATCH($B15&amp;"|"&amp;$D15,ShiftKnowledge!$A$2:$A$9,0)),"")))</f>
        <v/>
      </c>
      <c r="F15" s="4" t="inlineStr"/>
      <c r="G15" s="4">
        <f>IF(AND($I15="",$L15=""),"",IFERROR(VALUE($I15),0)+IFERROR(VALUE($L15),0))</f>
        <v/>
      </c>
      <c r="H15" s="4">
        <f>IF($D15="Custom","",IFERROR(XLOOKUP($B15&amp;"|"&amp;$D15,ShiftKnowledge!$A$2:$A$9,ShiftKnowledge!$E$2:$E$9,""),IFERROR(INDEX(ShiftKnowledge!$E$2:$E$9,MATCH($B15&amp;"|"&amp;$D15,ShiftKnowledge!$A$2:$A$9,0)),"")))</f>
        <v/>
      </c>
      <c r="I15" s="4">
        <f>IF($D15="Custom","",IFERROR(XLOOKUP($B15&amp;"|"&amp;$D15,ShiftKnowledge!$A$2:$A$9,ShiftKnowledge!$F$2:$F$9,""),IFERROR(INDEX(ShiftKnowledge!$F$2:$F$9,MATCH($B15&amp;"|"&amp;$D15,ShiftKnowledge!$A$2:$A$9,0)),"")))</f>
        <v/>
      </c>
      <c r="J15" s="4">
        <f>IF($D15="Custom","",IFERROR(XLOOKUP($B15&amp;"|"&amp;$D15,ShiftKnowledge!$A$2:$A$9,ShiftKnowledge!$G$2:$G$9,""),IFERROR(INDEX(ShiftKnowledge!$G$2:$G$9,MATCH($B15&amp;"|"&amp;$D15,ShiftKnowledge!$A$2:$A$9,0)),"")))</f>
        <v/>
      </c>
      <c r="K15" s="4">
        <f>IF($D15="Custom","",IFERROR(XLOOKUP($B15&amp;"|"&amp;$D15,ShiftKnowledge!$A$2:$A$9,ShiftKnowledge!$H$2:$H$9,""),IFERROR(INDEX(ShiftKnowledge!$H$2:$H$9,MATCH($B15&amp;"|"&amp;$D15,ShiftKnowledge!$A$2:$A$9,0)),"")))</f>
        <v/>
      </c>
      <c r="L15" s="4">
        <f>IF($D15="Custom","",IFERROR(XLOOKUP($B15&amp;"|"&amp;$D15,ShiftKnowledge!$A$2:$A$9,ShiftKnowledge!$I$2:$I$9,""),IFERROR(INDEX(ShiftKnowledge!$I$2:$I$9,MATCH($B15&amp;"|"&amp;$D15,ShiftKnowledge!$A$2:$A$9,0)),"")))</f>
        <v/>
      </c>
      <c r="M15" s="4" t="inlineStr"/>
    </row>
    <row r="16" ht="20" customHeight="1">
      <c r="A16" s="6" t="inlineStr">
        <is>
          <t>08/11/2025</t>
        </is>
      </c>
      <c r="B16" s="6" t="inlineStr">
        <is>
          <t>Dermatology</t>
        </is>
      </c>
      <c r="C16" s="7" t="inlineStr">
        <is>
          <t>Dr. Aya Gamal Kotb Mohamed Elagamy</t>
        </is>
      </c>
      <c r="D16" s="6" t="inlineStr"/>
      <c r="E16" s="6">
        <f>IF($D16="Custom","",IFERROR(XLOOKUP($B16&amp;"|"&amp;$D16,ShiftKnowledge!$A$2:$A$9,ShiftKnowledge!$D$2:$D$9,""),IFERROR(INDEX(ShiftKnowledge!$D$2:$D$9,MATCH($B16&amp;"|"&amp;$D16,ShiftKnowledge!$A$2:$A$9,0)),"")))</f>
        <v/>
      </c>
      <c r="F16" s="6" t="inlineStr"/>
      <c r="G16" s="6">
        <f>IF(AND($I16="",$L16=""),"",IFERROR(VALUE($I16),0)+IFERROR(VALUE($L16),0))</f>
        <v/>
      </c>
      <c r="H16" s="6">
        <f>IF($D16="Custom","",IFERROR(XLOOKUP($B16&amp;"|"&amp;$D16,ShiftKnowledge!$A$2:$A$9,ShiftKnowledge!$E$2:$E$9,""),IFERROR(INDEX(ShiftKnowledge!$E$2:$E$9,MATCH($B16&amp;"|"&amp;$D16,ShiftKnowledge!$A$2:$A$9,0)),"")))</f>
        <v/>
      </c>
      <c r="I16" s="6">
        <f>IF($D16="Custom","",IFERROR(XLOOKUP($B16&amp;"|"&amp;$D16,ShiftKnowledge!$A$2:$A$9,ShiftKnowledge!$F$2:$F$9,""),IFERROR(INDEX(ShiftKnowledge!$F$2:$F$9,MATCH($B16&amp;"|"&amp;$D16,ShiftKnowledge!$A$2:$A$9,0)),"")))</f>
        <v/>
      </c>
      <c r="J16" s="6">
        <f>IF($D16="Custom","",IFERROR(XLOOKUP($B16&amp;"|"&amp;$D16,ShiftKnowledge!$A$2:$A$9,ShiftKnowledge!$G$2:$G$9,""),IFERROR(INDEX(ShiftKnowledge!$G$2:$G$9,MATCH($B16&amp;"|"&amp;$D16,ShiftKnowledge!$A$2:$A$9,0)),"")))</f>
        <v/>
      </c>
      <c r="K16" s="6">
        <f>IF($D16="Custom","",IFERROR(XLOOKUP($B16&amp;"|"&amp;$D16,ShiftKnowledge!$A$2:$A$9,ShiftKnowledge!$H$2:$H$9,""),IFERROR(INDEX(ShiftKnowledge!$H$2:$H$9,MATCH($B16&amp;"|"&amp;$D16,ShiftKnowledge!$A$2:$A$9,0)),"")))</f>
        <v/>
      </c>
      <c r="L16" s="6">
        <f>IF($D16="Custom","",IFERROR(XLOOKUP($B16&amp;"|"&amp;$D16,ShiftKnowledge!$A$2:$A$9,ShiftKnowledge!$I$2:$I$9,""),IFERROR(INDEX(ShiftKnowledge!$I$2:$I$9,MATCH($B16&amp;"|"&amp;$D16,ShiftKnowledge!$A$2:$A$9,0)),"")))</f>
        <v/>
      </c>
      <c r="M16" s="6" t="inlineStr"/>
    </row>
    <row r="17" ht="20" customHeight="1">
      <c r="A17" s="4" t="inlineStr">
        <is>
          <t>08/11/2025</t>
        </is>
      </c>
      <c r="B17" s="4" t="inlineStr">
        <is>
          <t>Dental</t>
        </is>
      </c>
      <c r="C17" s="5" t="inlineStr">
        <is>
          <t>Dr. Benjamin Premkumar</t>
        </is>
      </c>
      <c r="D17" s="4" t="inlineStr"/>
      <c r="E17" s="4">
        <f>IF($D17="Custom","",IFERROR(XLOOKUP($B17&amp;"|"&amp;$D17,ShiftKnowledge!$A$2:$A$9,ShiftKnowledge!$D$2:$D$9,""),IFERROR(INDEX(ShiftKnowledge!$D$2:$D$9,MATCH($B17&amp;"|"&amp;$D17,ShiftKnowledge!$A$2:$A$9,0)),"")))</f>
        <v/>
      </c>
      <c r="F17" s="4" t="inlineStr"/>
      <c r="G17" s="4">
        <f>IF(AND($I17="",$L17=""),"",IFERROR(VALUE($I17),0)+IFERROR(VALUE($L17),0))</f>
        <v/>
      </c>
      <c r="H17" s="4">
        <f>IF($D17="Custom","",IFERROR(XLOOKUP($B17&amp;"|"&amp;$D17,ShiftKnowledge!$A$2:$A$9,ShiftKnowledge!$E$2:$E$9,""),IFERROR(INDEX(ShiftKnowledge!$E$2:$E$9,MATCH($B17&amp;"|"&amp;$D17,ShiftKnowledge!$A$2:$A$9,0)),"")))</f>
        <v/>
      </c>
      <c r="I17" s="4">
        <f>IF($D17="Custom","",IFERROR(XLOOKUP($B17&amp;"|"&amp;$D17,ShiftKnowledge!$A$2:$A$9,ShiftKnowledge!$F$2:$F$9,""),IFERROR(INDEX(ShiftKnowledge!$F$2:$F$9,MATCH($B17&amp;"|"&amp;$D17,ShiftKnowledge!$A$2:$A$9,0)),"")))</f>
        <v/>
      </c>
      <c r="J17" s="4">
        <f>IF($D17="Custom","",IFERROR(XLOOKUP($B17&amp;"|"&amp;$D17,ShiftKnowledge!$A$2:$A$9,ShiftKnowledge!$G$2:$G$9,""),IFERROR(INDEX(ShiftKnowledge!$G$2:$G$9,MATCH($B17&amp;"|"&amp;$D17,ShiftKnowledge!$A$2:$A$9,0)),"")))</f>
        <v/>
      </c>
      <c r="K17" s="4">
        <f>IF($D17="Custom","",IFERROR(XLOOKUP($B17&amp;"|"&amp;$D17,ShiftKnowledge!$A$2:$A$9,ShiftKnowledge!$H$2:$H$9,""),IFERROR(INDEX(ShiftKnowledge!$H$2:$H$9,MATCH($B17&amp;"|"&amp;$D17,ShiftKnowledge!$A$2:$A$9,0)),"")))</f>
        <v/>
      </c>
      <c r="L17" s="4">
        <f>IF($D17="Custom","",IFERROR(XLOOKUP($B17&amp;"|"&amp;$D17,ShiftKnowledge!$A$2:$A$9,ShiftKnowledge!$I$2:$I$9,""),IFERROR(INDEX(ShiftKnowledge!$I$2:$I$9,MATCH($B17&amp;"|"&amp;$D17,ShiftKnowledge!$A$2:$A$9,0)),"")))</f>
        <v/>
      </c>
      <c r="M17" s="4" t="inlineStr"/>
    </row>
    <row r="18" ht="20" customHeight="1">
      <c r="A18" s="6" t="inlineStr">
        <is>
          <t>08/11/2025</t>
        </is>
      </c>
      <c r="B18" s="6" t="inlineStr">
        <is>
          <t>Internal Medicine</t>
        </is>
      </c>
      <c r="C18" s="7" t="inlineStr">
        <is>
          <t>Dr. Cho Thway Mon</t>
        </is>
      </c>
      <c r="D18" s="6" t="inlineStr"/>
      <c r="E18" s="6">
        <f>IF($D18="Custom","",IFERROR(XLOOKUP($B18&amp;"|"&amp;$D18,ShiftKnowledge!$A$2:$A$9,ShiftKnowledge!$D$2:$D$9,""),IFERROR(INDEX(ShiftKnowledge!$D$2:$D$9,MATCH($B18&amp;"|"&amp;$D18,ShiftKnowledge!$A$2:$A$9,0)),"")))</f>
        <v/>
      </c>
      <c r="F18" s="6" t="inlineStr"/>
      <c r="G18" s="6">
        <f>IF(AND($I18="",$L18=""),"",IFERROR(VALUE($I18),0)+IFERROR(VALUE($L18),0))</f>
        <v/>
      </c>
      <c r="H18" s="6">
        <f>IF($D18="Custom","",IFERROR(XLOOKUP($B18&amp;"|"&amp;$D18,ShiftKnowledge!$A$2:$A$9,ShiftKnowledge!$E$2:$E$9,""),IFERROR(INDEX(ShiftKnowledge!$E$2:$E$9,MATCH($B18&amp;"|"&amp;$D18,ShiftKnowledge!$A$2:$A$9,0)),"")))</f>
        <v/>
      </c>
      <c r="I18" s="6">
        <f>IF($D18="Custom","",IFERROR(XLOOKUP($B18&amp;"|"&amp;$D18,ShiftKnowledge!$A$2:$A$9,ShiftKnowledge!$F$2:$F$9,""),IFERROR(INDEX(ShiftKnowledge!$F$2:$F$9,MATCH($B18&amp;"|"&amp;$D18,ShiftKnowledge!$A$2:$A$9,0)),"")))</f>
        <v/>
      </c>
      <c r="J18" s="6">
        <f>IF($D18="Custom","",IFERROR(XLOOKUP($B18&amp;"|"&amp;$D18,ShiftKnowledge!$A$2:$A$9,ShiftKnowledge!$G$2:$G$9,""),IFERROR(INDEX(ShiftKnowledge!$G$2:$G$9,MATCH($B18&amp;"|"&amp;$D18,ShiftKnowledge!$A$2:$A$9,0)),"")))</f>
        <v/>
      </c>
      <c r="K18" s="6">
        <f>IF($D18="Custom","",IFERROR(XLOOKUP($B18&amp;"|"&amp;$D18,ShiftKnowledge!$A$2:$A$9,ShiftKnowledge!$H$2:$H$9,""),IFERROR(INDEX(ShiftKnowledge!$H$2:$H$9,MATCH($B18&amp;"|"&amp;$D18,ShiftKnowledge!$A$2:$A$9,0)),"")))</f>
        <v/>
      </c>
      <c r="L18" s="6">
        <f>IF($D18="Custom","",IFERROR(XLOOKUP($B18&amp;"|"&amp;$D18,ShiftKnowledge!$A$2:$A$9,ShiftKnowledge!$I$2:$I$9,""),IFERROR(INDEX(ShiftKnowledge!$I$2:$I$9,MATCH($B18&amp;"|"&amp;$D18,ShiftKnowledge!$A$2:$A$9,0)),"")))</f>
        <v/>
      </c>
      <c r="M18" s="6" t="inlineStr"/>
    </row>
    <row r="19" ht="20" customHeight="1">
      <c r="A19" s="4" t="inlineStr">
        <is>
          <t>08/11/2025</t>
        </is>
      </c>
      <c r="B19" s="4" t="inlineStr">
        <is>
          <t>Orthopaedics</t>
        </is>
      </c>
      <c r="C19" s="5" t="inlineStr">
        <is>
          <t>Dr. Dinesh Kumar Pandit</t>
        </is>
      </c>
      <c r="D19" s="4" t="inlineStr"/>
      <c r="E19" s="4">
        <f>IF($D19="Custom","",IFERROR(XLOOKUP($B19&amp;"|"&amp;$D19,ShiftKnowledge!$A$2:$A$9,ShiftKnowledge!$D$2:$D$9,""),IFERROR(INDEX(ShiftKnowledge!$D$2:$D$9,MATCH($B19&amp;"|"&amp;$D19,ShiftKnowledge!$A$2:$A$9,0)),"")))</f>
        <v/>
      </c>
      <c r="F19" s="4" t="inlineStr"/>
      <c r="G19" s="4">
        <f>IF(AND($I19="",$L19=""),"",IFERROR(VALUE($I19),0)+IFERROR(VALUE($L19),0))</f>
        <v/>
      </c>
      <c r="H19" s="4">
        <f>IF($D19="Custom","",IFERROR(XLOOKUP($B19&amp;"|"&amp;$D19,ShiftKnowledge!$A$2:$A$9,ShiftKnowledge!$E$2:$E$9,""),IFERROR(INDEX(ShiftKnowledge!$E$2:$E$9,MATCH($B19&amp;"|"&amp;$D19,ShiftKnowledge!$A$2:$A$9,0)),"")))</f>
        <v/>
      </c>
      <c r="I19" s="4">
        <f>IF($D19="Custom","",IFERROR(XLOOKUP($B19&amp;"|"&amp;$D19,ShiftKnowledge!$A$2:$A$9,ShiftKnowledge!$F$2:$F$9,""),IFERROR(INDEX(ShiftKnowledge!$F$2:$F$9,MATCH($B19&amp;"|"&amp;$D19,ShiftKnowledge!$A$2:$A$9,0)),"")))</f>
        <v/>
      </c>
      <c r="J19" s="4">
        <f>IF($D19="Custom","",IFERROR(XLOOKUP($B19&amp;"|"&amp;$D19,ShiftKnowledge!$A$2:$A$9,ShiftKnowledge!$G$2:$G$9,""),IFERROR(INDEX(ShiftKnowledge!$G$2:$G$9,MATCH($B19&amp;"|"&amp;$D19,ShiftKnowledge!$A$2:$A$9,0)),"")))</f>
        <v/>
      </c>
      <c r="K19" s="4">
        <f>IF($D19="Custom","",IFERROR(XLOOKUP($B19&amp;"|"&amp;$D19,ShiftKnowledge!$A$2:$A$9,ShiftKnowledge!$H$2:$H$9,""),IFERROR(INDEX(ShiftKnowledge!$H$2:$H$9,MATCH($B19&amp;"|"&amp;$D19,ShiftKnowledge!$A$2:$A$9,0)),"")))</f>
        <v/>
      </c>
      <c r="L19" s="4">
        <f>IF($D19="Custom","",IFERROR(XLOOKUP($B19&amp;"|"&amp;$D19,ShiftKnowledge!$A$2:$A$9,ShiftKnowledge!$I$2:$I$9,""),IFERROR(INDEX(ShiftKnowledge!$I$2:$I$9,MATCH($B19&amp;"|"&amp;$D19,ShiftKnowledge!$A$2:$A$9,0)),"")))</f>
        <v/>
      </c>
      <c r="M19" s="4" t="inlineStr"/>
    </row>
    <row r="20" ht="20" customHeight="1">
      <c r="A20" s="6" t="inlineStr">
        <is>
          <t>08/11/2025</t>
        </is>
      </c>
      <c r="B20" s="6" t="inlineStr">
        <is>
          <t>Internal Medicine</t>
        </is>
      </c>
      <c r="C20" s="7" t="inlineStr">
        <is>
          <t>Dr. Ei Shwe Yee Myint</t>
        </is>
      </c>
      <c r="D20" s="6" t="inlineStr"/>
      <c r="E20" s="6">
        <f>IF($D20="Custom","",IFERROR(XLOOKUP($B20&amp;"|"&amp;$D20,ShiftKnowledge!$A$2:$A$9,ShiftKnowledge!$D$2:$D$9,""),IFERROR(INDEX(ShiftKnowledge!$D$2:$D$9,MATCH($B20&amp;"|"&amp;$D20,ShiftKnowledge!$A$2:$A$9,0)),"")))</f>
        <v/>
      </c>
      <c r="F20" s="6" t="inlineStr"/>
      <c r="G20" s="6">
        <f>IF(AND($I20="",$L20=""),"",IFERROR(VALUE($I20),0)+IFERROR(VALUE($L20),0))</f>
        <v/>
      </c>
      <c r="H20" s="6">
        <f>IF($D20="Custom","",IFERROR(XLOOKUP($B20&amp;"|"&amp;$D20,ShiftKnowledge!$A$2:$A$9,ShiftKnowledge!$E$2:$E$9,""),IFERROR(INDEX(ShiftKnowledge!$E$2:$E$9,MATCH($B20&amp;"|"&amp;$D20,ShiftKnowledge!$A$2:$A$9,0)),"")))</f>
        <v/>
      </c>
      <c r="I20" s="6">
        <f>IF($D20="Custom","",IFERROR(XLOOKUP($B20&amp;"|"&amp;$D20,ShiftKnowledge!$A$2:$A$9,ShiftKnowledge!$F$2:$F$9,""),IFERROR(INDEX(ShiftKnowledge!$F$2:$F$9,MATCH($B20&amp;"|"&amp;$D20,ShiftKnowledge!$A$2:$A$9,0)),"")))</f>
        <v/>
      </c>
      <c r="J20" s="6">
        <f>IF($D20="Custom","",IFERROR(XLOOKUP($B20&amp;"|"&amp;$D20,ShiftKnowledge!$A$2:$A$9,ShiftKnowledge!$G$2:$G$9,""),IFERROR(INDEX(ShiftKnowledge!$G$2:$G$9,MATCH($B20&amp;"|"&amp;$D20,ShiftKnowledge!$A$2:$A$9,0)),"")))</f>
        <v/>
      </c>
      <c r="K20" s="6">
        <f>IF($D20="Custom","",IFERROR(XLOOKUP($B20&amp;"|"&amp;$D20,ShiftKnowledge!$A$2:$A$9,ShiftKnowledge!$H$2:$H$9,""),IFERROR(INDEX(ShiftKnowledge!$H$2:$H$9,MATCH($B20&amp;"|"&amp;$D20,ShiftKnowledge!$A$2:$A$9,0)),"")))</f>
        <v/>
      </c>
      <c r="L20" s="6">
        <f>IF($D20="Custom","",IFERROR(XLOOKUP($B20&amp;"|"&amp;$D20,ShiftKnowledge!$A$2:$A$9,ShiftKnowledge!$I$2:$I$9,""),IFERROR(INDEX(ShiftKnowledge!$I$2:$I$9,MATCH($B20&amp;"|"&amp;$D20,ShiftKnowledge!$A$2:$A$9,0)),"")))</f>
        <v/>
      </c>
      <c r="M20" s="6" t="inlineStr"/>
    </row>
    <row r="21" ht="20" customHeight="1">
      <c r="A21" s="4" t="inlineStr">
        <is>
          <t>08/11/2025</t>
        </is>
      </c>
      <c r="B21" s="4" t="inlineStr">
        <is>
          <t>Internal Medicine</t>
        </is>
      </c>
      <c r="C21" s="5" t="inlineStr">
        <is>
          <t>Dr. Hatem Hassan Mohamed Abdelhafez</t>
        </is>
      </c>
      <c r="D21" s="4" t="inlineStr"/>
      <c r="E21" s="4">
        <f>IF($D21="Custom","",IFERROR(XLOOKUP($B21&amp;"|"&amp;$D21,ShiftKnowledge!$A$2:$A$9,ShiftKnowledge!$D$2:$D$9,""),IFERROR(INDEX(ShiftKnowledge!$D$2:$D$9,MATCH($B21&amp;"|"&amp;$D21,ShiftKnowledge!$A$2:$A$9,0)),"")))</f>
        <v/>
      </c>
      <c r="F21" s="4" t="inlineStr"/>
      <c r="G21" s="4">
        <f>IF(AND($I21="",$L21=""),"",IFERROR(VALUE($I21),0)+IFERROR(VALUE($L21),0))</f>
        <v/>
      </c>
      <c r="H21" s="4">
        <f>IF($D21="Custom","",IFERROR(XLOOKUP($B21&amp;"|"&amp;$D21,ShiftKnowledge!$A$2:$A$9,ShiftKnowledge!$E$2:$E$9,""),IFERROR(INDEX(ShiftKnowledge!$E$2:$E$9,MATCH($B21&amp;"|"&amp;$D21,ShiftKnowledge!$A$2:$A$9,0)),"")))</f>
        <v/>
      </c>
      <c r="I21" s="4">
        <f>IF($D21="Custom","",IFERROR(XLOOKUP($B21&amp;"|"&amp;$D21,ShiftKnowledge!$A$2:$A$9,ShiftKnowledge!$F$2:$F$9,""),IFERROR(INDEX(ShiftKnowledge!$F$2:$F$9,MATCH($B21&amp;"|"&amp;$D21,ShiftKnowledge!$A$2:$A$9,0)),"")))</f>
        <v/>
      </c>
      <c r="J21" s="4">
        <f>IF($D21="Custom","",IFERROR(XLOOKUP($B21&amp;"|"&amp;$D21,ShiftKnowledge!$A$2:$A$9,ShiftKnowledge!$G$2:$G$9,""),IFERROR(INDEX(ShiftKnowledge!$G$2:$G$9,MATCH($B21&amp;"|"&amp;$D21,ShiftKnowledge!$A$2:$A$9,0)),"")))</f>
        <v/>
      </c>
      <c r="K21" s="4">
        <f>IF($D21="Custom","",IFERROR(XLOOKUP($B21&amp;"|"&amp;$D21,ShiftKnowledge!$A$2:$A$9,ShiftKnowledge!$H$2:$H$9,""),IFERROR(INDEX(ShiftKnowledge!$H$2:$H$9,MATCH($B21&amp;"|"&amp;$D21,ShiftKnowledge!$A$2:$A$9,0)),"")))</f>
        <v/>
      </c>
      <c r="L21" s="4">
        <f>IF($D21="Custom","",IFERROR(XLOOKUP($B21&amp;"|"&amp;$D21,ShiftKnowledge!$A$2:$A$9,ShiftKnowledge!$I$2:$I$9,""),IFERROR(INDEX(ShiftKnowledge!$I$2:$I$9,MATCH($B21&amp;"|"&amp;$D21,ShiftKnowledge!$A$2:$A$9,0)),"")))</f>
        <v/>
      </c>
      <c r="M21" s="4" t="inlineStr"/>
    </row>
    <row r="22" ht="20" customHeight="1">
      <c r="A22" s="6" t="inlineStr">
        <is>
          <t>08/11/2025</t>
        </is>
      </c>
      <c r="B22" s="6" t="inlineStr">
        <is>
          <t>Gynaecology</t>
        </is>
      </c>
      <c r="C22" s="7" t="inlineStr">
        <is>
          <t>Dr. Hawwa Inaya</t>
        </is>
      </c>
      <c r="D22" s="6" t="inlineStr"/>
      <c r="E22" s="6">
        <f>IF($D22="Custom","",IFERROR(XLOOKUP($B22&amp;"|"&amp;$D22,ShiftKnowledge!$A$2:$A$9,ShiftKnowledge!$D$2:$D$9,""),IFERROR(INDEX(ShiftKnowledge!$D$2:$D$9,MATCH($B22&amp;"|"&amp;$D22,ShiftKnowledge!$A$2:$A$9,0)),"")))</f>
        <v/>
      </c>
      <c r="F22" s="6" t="inlineStr"/>
      <c r="G22" s="6">
        <f>IF(AND($I22="",$L22=""),"",IFERROR(VALUE($I22),0)+IFERROR(VALUE($L22),0))</f>
        <v/>
      </c>
      <c r="H22" s="6">
        <f>IF($D22="Custom","",IFERROR(XLOOKUP($B22&amp;"|"&amp;$D22,ShiftKnowledge!$A$2:$A$9,ShiftKnowledge!$E$2:$E$9,""),IFERROR(INDEX(ShiftKnowledge!$E$2:$E$9,MATCH($B22&amp;"|"&amp;$D22,ShiftKnowledge!$A$2:$A$9,0)),"")))</f>
        <v/>
      </c>
      <c r="I22" s="6">
        <f>IF($D22="Custom","",IFERROR(XLOOKUP($B22&amp;"|"&amp;$D22,ShiftKnowledge!$A$2:$A$9,ShiftKnowledge!$F$2:$F$9,""),IFERROR(INDEX(ShiftKnowledge!$F$2:$F$9,MATCH($B22&amp;"|"&amp;$D22,ShiftKnowledge!$A$2:$A$9,0)),"")))</f>
        <v/>
      </c>
      <c r="J22" s="6">
        <f>IF($D22="Custom","",IFERROR(XLOOKUP($B22&amp;"|"&amp;$D22,ShiftKnowledge!$A$2:$A$9,ShiftKnowledge!$G$2:$G$9,""),IFERROR(INDEX(ShiftKnowledge!$G$2:$G$9,MATCH($B22&amp;"|"&amp;$D22,ShiftKnowledge!$A$2:$A$9,0)),"")))</f>
        <v/>
      </c>
      <c r="K22" s="6">
        <f>IF($D22="Custom","",IFERROR(XLOOKUP($B22&amp;"|"&amp;$D22,ShiftKnowledge!$A$2:$A$9,ShiftKnowledge!$H$2:$H$9,""),IFERROR(INDEX(ShiftKnowledge!$H$2:$H$9,MATCH($B22&amp;"|"&amp;$D22,ShiftKnowledge!$A$2:$A$9,0)),"")))</f>
        <v/>
      </c>
      <c r="L22" s="6">
        <f>IF($D22="Custom","",IFERROR(XLOOKUP($B22&amp;"|"&amp;$D22,ShiftKnowledge!$A$2:$A$9,ShiftKnowledge!$I$2:$I$9,""),IFERROR(INDEX(ShiftKnowledge!$I$2:$I$9,MATCH($B22&amp;"|"&amp;$D22,ShiftKnowledge!$A$2:$A$9,0)),"")))</f>
        <v/>
      </c>
      <c r="M22" s="6" t="inlineStr"/>
    </row>
    <row r="23" ht="20" customHeight="1">
      <c r="A23" s="4" t="inlineStr">
        <is>
          <t>08/11/2025</t>
        </is>
      </c>
      <c r="B23" s="4" t="inlineStr">
        <is>
          <t>Gynaecology</t>
        </is>
      </c>
      <c r="C23" s="5" t="inlineStr">
        <is>
          <t>Dr. Joshila Chanu Yumnam Bhattarai</t>
        </is>
      </c>
      <c r="D23" s="4" t="inlineStr"/>
      <c r="E23" s="4">
        <f>IF($D23="Custom","",IFERROR(XLOOKUP($B23&amp;"|"&amp;$D23,ShiftKnowledge!$A$2:$A$9,ShiftKnowledge!$D$2:$D$9,""),IFERROR(INDEX(ShiftKnowledge!$D$2:$D$9,MATCH($B23&amp;"|"&amp;$D23,ShiftKnowledge!$A$2:$A$9,0)),"")))</f>
        <v/>
      </c>
      <c r="F23" s="4" t="inlineStr"/>
      <c r="G23" s="4">
        <f>IF(AND($I23="",$L23=""),"",IFERROR(VALUE($I23),0)+IFERROR(VALUE($L23),0))</f>
        <v/>
      </c>
      <c r="H23" s="4">
        <f>IF($D23="Custom","",IFERROR(XLOOKUP($B23&amp;"|"&amp;$D23,ShiftKnowledge!$A$2:$A$9,ShiftKnowledge!$E$2:$E$9,""),IFERROR(INDEX(ShiftKnowledge!$E$2:$E$9,MATCH($B23&amp;"|"&amp;$D23,ShiftKnowledge!$A$2:$A$9,0)),"")))</f>
        <v/>
      </c>
      <c r="I23" s="4">
        <f>IF($D23="Custom","",IFERROR(XLOOKUP($B23&amp;"|"&amp;$D23,ShiftKnowledge!$A$2:$A$9,ShiftKnowledge!$F$2:$F$9,""),IFERROR(INDEX(ShiftKnowledge!$F$2:$F$9,MATCH($B23&amp;"|"&amp;$D23,ShiftKnowledge!$A$2:$A$9,0)),"")))</f>
        <v/>
      </c>
      <c r="J23" s="4">
        <f>IF($D23="Custom","",IFERROR(XLOOKUP($B23&amp;"|"&amp;$D23,ShiftKnowledge!$A$2:$A$9,ShiftKnowledge!$G$2:$G$9,""),IFERROR(INDEX(ShiftKnowledge!$G$2:$G$9,MATCH($B23&amp;"|"&amp;$D23,ShiftKnowledge!$A$2:$A$9,0)),"")))</f>
        <v/>
      </c>
      <c r="K23" s="4">
        <f>IF($D23="Custom","",IFERROR(XLOOKUP($B23&amp;"|"&amp;$D23,ShiftKnowledge!$A$2:$A$9,ShiftKnowledge!$H$2:$H$9,""),IFERROR(INDEX(ShiftKnowledge!$H$2:$H$9,MATCH($B23&amp;"|"&amp;$D23,ShiftKnowledge!$A$2:$A$9,0)),"")))</f>
        <v/>
      </c>
      <c r="L23" s="4">
        <f>IF($D23="Custom","",IFERROR(XLOOKUP($B23&amp;"|"&amp;$D23,ShiftKnowledge!$A$2:$A$9,ShiftKnowledge!$I$2:$I$9,""),IFERROR(INDEX(ShiftKnowledge!$I$2:$I$9,MATCH($B23&amp;"|"&amp;$D23,ShiftKnowledge!$A$2:$A$9,0)),"")))</f>
        <v/>
      </c>
      <c r="M23" s="4" t="inlineStr"/>
    </row>
    <row r="24" ht="20" customHeight="1">
      <c r="A24" s="6" t="inlineStr">
        <is>
          <t>08/11/2025</t>
        </is>
      </c>
      <c r="B24" s="6" t="inlineStr">
        <is>
          <t>Gynaecology</t>
        </is>
      </c>
      <c r="C24" s="7" t="inlineStr">
        <is>
          <t>Dr. Jumailath Beygum</t>
        </is>
      </c>
      <c r="D24" s="6" t="inlineStr"/>
      <c r="E24" s="6">
        <f>IF($D24="Custom","",IFERROR(XLOOKUP($B24&amp;"|"&amp;$D24,ShiftKnowledge!$A$2:$A$9,ShiftKnowledge!$D$2:$D$9,""),IFERROR(INDEX(ShiftKnowledge!$D$2:$D$9,MATCH($B24&amp;"|"&amp;$D24,ShiftKnowledge!$A$2:$A$9,0)),"")))</f>
        <v/>
      </c>
      <c r="F24" s="6" t="inlineStr"/>
      <c r="G24" s="6">
        <f>IF(AND($I24="",$L24=""),"",IFERROR(VALUE($I24),0)+IFERROR(VALUE($L24),0))</f>
        <v/>
      </c>
      <c r="H24" s="6">
        <f>IF($D24="Custom","",IFERROR(XLOOKUP($B24&amp;"|"&amp;$D24,ShiftKnowledge!$A$2:$A$9,ShiftKnowledge!$E$2:$E$9,""),IFERROR(INDEX(ShiftKnowledge!$E$2:$E$9,MATCH($B24&amp;"|"&amp;$D24,ShiftKnowledge!$A$2:$A$9,0)),"")))</f>
        <v/>
      </c>
      <c r="I24" s="6">
        <f>IF($D24="Custom","",IFERROR(XLOOKUP($B24&amp;"|"&amp;$D24,ShiftKnowledge!$A$2:$A$9,ShiftKnowledge!$F$2:$F$9,""),IFERROR(INDEX(ShiftKnowledge!$F$2:$F$9,MATCH($B24&amp;"|"&amp;$D24,ShiftKnowledge!$A$2:$A$9,0)),"")))</f>
        <v/>
      </c>
      <c r="J24" s="6">
        <f>IF($D24="Custom","",IFERROR(XLOOKUP($B24&amp;"|"&amp;$D24,ShiftKnowledge!$A$2:$A$9,ShiftKnowledge!$G$2:$G$9,""),IFERROR(INDEX(ShiftKnowledge!$G$2:$G$9,MATCH($B24&amp;"|"&amp;$D24,ShiftKnowledge!$A$2:$A$9,0)),"")))</f>
        <v/>
      </c>
      <c r="K24" s="6">
        <f>IF($D24="Custom","",IFERROR(XLOOKUP($B24&amp;"|"&amp;$D24,ShiftKnowledge!$A$2:$A$9,ShiftKnowledge!$H$2:$H$9,""),IFERROR(INDEX(ShiftKnowledge!$H$2:$H$9,MATCH($B24&amp;"|"&amp;$D24,ShiftKnowledge!$A$2:$A$9,0)),"")))</f>
        <v/>
      </c>
      <c r="L24" s="6">
        <f>IF($D24="Custom","",IFERROR(XLOOKUP($B24&amp;"|"&amp;$D24,ShiftKnowledge!$A$2:$A$9,ShiftKnowledge!$I$2:$I$9,""),IFERROR(INDEX(ShiftKnowledge!$I$2:$I$9,MATCH($B24&amp;"|"&amp;$D24,ShiftKnowledge!$A$2:$A$9,0)),"")))</f>
        <v/>
      </c>
      <c r="M24" s="6" t="inlineStr"/>
    </row>
    <row r="25" ht="20" customHeight="1">
      <c r="A25" s="4" t="inlineStr">
        <is>
          <t>08/11/2025</t>
        </is>
      </c>
      <c r="B25" s="4" t="inlineStr">
        <is>
          <t>General Surgery</t>
        </is>
      </c>
      <c r="C25" s="5" t="inlineStr">
        <is>
          <t>Dr. Khine Su Kyi</t>
        </is>
      </c>
      <c r="D25" s="4" t="inlineStr"/>
      <c r="E25" s="4">
        <f>IF($D25="Custom","",IFERROR(XLOOKUP($B25&amp;"|"&amp;$D25,ShiftKnowledge!$A$2:$A$9,ShiftKnowledge!$D$2:$D$9,""),IFERROR(INDEX(ShiftKnowledge!$D$2:$D$9,MATCH($B25&amp;"|"&amp;$D25,ShiftKnowledge!$A$2:$A$9,0)),"")))</f>
        <v/>
      </c>
      <c r="F25" s="4" t="inlineStr"/>
      <c r="G25" s="4">
        <f>IF(AND($I25="",$L25=""),"",IFERROR(VALUE($I25),0)+IFERROR(VALUE($L25),0))</f>
        <v/>
      </c>
      <c r="H25" s="4">
        <f>IF($D25="Custom","",IFERROR(XLOOKUP($B25&amp;"|"&amp;$D25,ShiftKnowledge!$A$2:$A$9,ShiftKnowledge!$E$2:$E$9,""),IFERROR(INDEX(ShiftKnowledge!$E$2:$E$9,MATCH($B25&amp;"|"&amp;$D25,ShiftKnowledge!$A$2:$A$9,0)),"")))</f>
        <v/>
      </c>
      <c r="I25" s="4">
        <f>IF($D25="Custom","",IFERROR(XLOOKUP($B25&amp;"|"&amp;$D25,ShiftKnowledge!$A$2:$A$9,ShiftKnowledge!$F$2:$F$9,""),IFERROR(INDEX(ShiftKnowledge!$F$2:$F$9,MATCH($B25&amp;"|"&amp;$D25,ShiftKnowledge!$A$2:$A$9,0)),"")))</f>
        <v/>
      </c>
      <c r="J25" s="4">
        <f>IF($D25="Custom","",IFERROR(XLOOKUP($B25&amp;"|"&amp;$D25,ShiftKnowledge!$A$2:$A$9,ShiftKnowledge!$G$2:$G$9,""),IFERROR(INDEX(ShiftKnowledge!$G$2:$G$9,MATCH($B25&amp;"|"&amp;$D25,ShiftKnowledge!$A$2:$A$9,0)),"")))</f>
        <v/>
      </c>
      <c r="K25" s="4">
        <f>IF($D25="Custom","",IFERROR(XLOOKUP($B25&amp;"|"&amp;$D25,ShiftKnowledge!$A$2:$A$9,ShiftKnowledge!$H$2:$H$9,""),IFERROR(INDEX(ShiftKnowledge!$H$2:$H$9,MATCH($B25&amp;"|"&amp;$D25,ShiftKnowledge!$A$2:$A$9,0)),"")))</f>
        <v/>
      </c>
      <c r="L25" s="4">
        <f>IF($D25="Custom","",IFERROR(XLOOKUP($B25&amp;"|"&amp;$D25,ShiftKnowledge!$A$2:$A$9,ShiftKnowledge!$I$2:$I$9,""),IFERROR(INDEX(ShiftKnowledge!$I$2:$I$9,MATCH($B25&amp;"|"&amp;$D25,ShiftKnowledge!$A$2:$A$9,0)),"")))</f>
        <v/>
      </c>
      <c r="M25" s="4" t="inlineStr"/>
    </row>
    <row r="26" ht="20" customHeight="1">
      <c r="A26" s="6" t="inlineStr">
        <is>
          <t>08/11/2025</t>
        </is>
      </c>
      <c r="B26" s="6" t="inlineStr">
        <is>
          <t>Dental</t>
        </is>
      </c>
      <c r="C26" s="7" t="inlineStr">
        <is>
          <t>Dr. Mariyam Afza Zuhair</t>
        </is>
      </c>
      <c r="D26" s="6" t="inlineStr"/>
      <c r="E26" s="6">
        <f>IF($D26="Custom","",IFERROR(XLOOKUP($B26&amp;"|"&amp;$D26,ShiftKnowledge!$A$2:$A$9,ShiftKnowledge!$D$2:$D$9,""),IFERROR(INDEX(ShiftKnowledge!$D$2:$D$9,MATCH($B26&amp;"|"&amp;$D26,ShiftKnowledge!$A$2:$A$9,0)),"")))</f>
        <v/>
      </c>
      <c r="F26" s="6" t="inlineStr"/>
      <c r="G26" s="6">
        <f>IF(AND($I26="",$L26=""),"",IFERROR(VALUE($I26),0)+IFERROR(VALUE($L26),0))</f>
        <v/>
      </c>
      <c r="H26" s="6">
        <f>IF($D26="Custom","",IFERROR(XLOOKUP($B26&amp;"|"&amp;$D26,ShiftKnowledge!$A$2:$A$9,ShiftKnowledge!$E$2:$E$9,""),IFERROR(INDEX(ShiftKnowledge!$E$2:$E$9,MATCH($B26&amp;"|"&amp;$D26,ShiftKnowledge!$A$2:$A$9,0)),"")))</f>
        <v/>
      </c>
      <c r="I26" s="6">
        <f>IF($D26="Custom","",IFERROR(XLOOKUP($B26&amp;"|"&amp;$D26,ShiftKnowledge!$A$2:$A$9,ShiftKnowledge!$F$2:$F$9,""),IFERROR(INDEX(ShiftKnowledge!$F$2:$F$9,MATCH($B26&amp;"|"&amp;$D26,ShiftKnowledge!$A$2:$A$9,0)),"")))</f>
        <v/>
      </c>
      <c r="J26" s="6">
        <f>IF($D26="Custom","",IFERROR(XLOOKUP($B26&amp;"|"&amp;$D26,ShiftKnowledge!$A$2:$A$9,ShiftKnowledge!$G$2:$G$9,""),IFERROR(INDEX(ShiftKnowledge!$G$2:$G$9,MATCH($B26&amp;"|"&amp;$D26,ShiftKnowledge!$A$2:$A$9,0)),"")))</f>
        <v/>
      </c>
      <c r="K26" s="6">
        <f>IF($D26="Custom","",IFERROR(XLOOKUP($B26&amp;"|"&amp;$D26,ShiftKnowledge!$A$2:$A$9,ShiftKnowledge!$H$2:$H$9,""),IFERROR(INDEX(ShiftKnowledge!$H$2:$H$9,MATCH($B26&amp;"|"&amp;$D26,ShiftKnowledge!$A$2:$A$9,0)),"")))</f>
        <v/>
      </c>
      <c r="L26" s="6">
        <f>IF($D26="Custom","",IFERROR(XLOOKUP($B26&amp;"|"&amp;$D26,ShiftKnowledge!$A$2:$A$9,ShiftKnowledge!$I$2:$I$9,""),IFERROR(INDEX(ShiftKnowledge!$I$2:$I$9,MATCH($B26&amp;"|"&amp;$D26,ShiftKnowledge!$A$2:$A$9,0)),"")))</f>
        <v/>
      </c>
      <c r="M26" s="6" t="inlineStr"/>
    </row>
    <row r="27" ht="20" customHeight="1">
      <c r="A27" s="4" t="inlineStr">
        <is>
          <t>08/11/2025</t>
        </is>
      </c>
      <c r="B27" s="4" t="inlineStr">
        <is>
          <t>Psychiatry</t>
        </is>
      </c>
      <c r="C27" s="5" t="inlineStr">
        <is>
          <t>Dr. Maumoon Shareef</t>
        </is>
      </c>
      <c r="D27" s="4" t="inlineStr"/>
      <c r="E27" s="4">
        <f>IF($D27="Custom","",IFERROR(XLOOKUP($B27&amp;"|"&amp;$D27,ShiftKnowledge!$A$2:$A$9,ShiftKnowledge!$D$2:$D$9,""),IFERROR(INDEX(ShiftKnowledge!$D$2:$D$9,MATCH($B27&amp;"|"&amp;$D27,ShiftKnowledge!$A$2:$A$9,0)),"")))</f>
        <v/>
      </c>
      <c r="F27" s="4" t="inlineStr"/>
      <c r="G27" s="4">
        <f>IF(AND($I27="",$L27=""),"",IFERROR(VALUE($I27),0)+IFERROR(VALUE($L27),0))</f>
        <v/>
      </c>
      <c r="H27" s="4">
        <f>IF($D27="Custom","",IFERROR(XLOOKUP($B27&amp;"|"&amp;$D27,ShiftKnowledge!$A$2:$A$9,ShiftKnowledge!$E$2:$E$9,""),IFERROR(INDEX(ShiftKnowledge!$E$2:$E$9,MATCH($B27&amp;"|"&amp;$D27,ShiftKnowledge!$A$2:$A$9,0)),"")))</f>
        <v/>
      </c>
      <c r="I27" s="4">
        <f>IF($D27="Custom","",IFERROR(XLOOKUP($B27&amp;"|"&amp;$D27,ShiftKnowledge!$A$2:$A$9,ShiftKnowledge!$F$2:$F$9,""),IFERROR(INDEX(ShiftKnowledge!$F$2:$F$9,MATCH($B27&amp;"|"&amp;$D27,ShiftKnowledge!$A$2:$A$9,0)),"")))</f>
        <v/>
      </c>
      <c r="J27" s="4">
        <f>IF($D27="Custom","",IFERROR(XLOOKUP($B27&amp;"|"&amp;$D27,ShiftKnowledge!$A$2:$A$9,ShiftKnowledge!$G$2:$G$9,""),IFERROR(INDEX(ShiftKnowledge!$G$2:$G$9,MATCH($B27&amp;"|"&amp;$D27,ShiftKnowledge!$A$2:$A$9,0)),"")))</f>
        <v/>
      </c>
      <c r="K27" s="4">
        <f>IF($D27="Custom","",IFERROR(XLOOKUP($B27&amp;"|"&amp;$D27,ShiftKnowledge!$A$2:$A$9,ShiftKnowledge!$H$2:$H$9,""),IFERROR(INDEX(ShiftKnowledge!$H$2:$H$9,MATCH($B27&amp;"|"&amp;$D27,ShiftKnowledge!$A$2:$A$9,0)),"")))</f>
        <v/>
      </c>
      <c r="L27" s="4">
        <f>IF($D27="Custom","",IFERROR(XLOOKUP($B27&amp;"|"&amp;$D27,ShiftKnowledge!$A$2:$A$9,ShiftKnowledge!$I$2:$I$9,""),IFERROR(INDEX(ShiftKnowledge!$I$2:$I$9,MATCH($B27&amp;"|"&amp;$D27,ShiftKnowledge!$A$2:$A$9,0)),"")))</f>
        <v/>
      </c>
      <c r="M27" s="4" t="inlineStr"/>
    </row>
    <row r="28" ht="20" customHeight="1">
      <c r="A28" s="6" t="inlineStr">
        <is>
          <t>08/11/2025</t>
        </is>
      </c>
      <c r="B28" s="6" t="inlineStr">
        <is>
          <t>Internal Medicine</t>
        </is>
      </c>
      <c r="C28" s="7" t="inlineStr">
        <is>
          <t>Dr. Mihuna Ibrahim</t>
        </is>
      </c>
      <c r="D28" s="6" t="inlineStr"/>
      <c r="E28" s="6">
        <f>IF($D28="Custom","",IFERROR(XLOOKUP($B28&amp;"|"&amp;$D28,ShiftKnowledge!$A$2:$A$9,ShiftKnowledge!$D$2:$D$9,""),IFERROR(INDEX(ShiftKnowledge!$D$2:$D$9,MATCH($B28&amp;"|"&amp;$D28,ShiftKnowledge!$A$2:$A$9,0)),"")))</f>
        <v/>
      </c>
      <c r="F28" s="6" t="inlineStr"/>
      <c r="G28" s="6">
        <f>IF(AND($I28="",$L28=""),"",IFERROR(VALUE($I28),0)+IFERROR(VALUE($L28),0))</f>
        <v/>
      </c>
      <c r="H28" s="6">
        <f>IF($D28="Custom","",IFERROR(XLOOKUP($B28&amp;"|"&amp;$D28,ShiftKnowledge!$A$2:$A$9,ShiftKnowledge!$E$2:$E$9,""),IFERROR(INDEX(ShiftKnowledge!$E$2:$E$9,MATCH($B28&amp;"|"&amp;$D28,ShiftKnowledge!$A$2:$A$9,0)),"")))</f>
        <v/>
      </c>
      <c r="I28" s="6">
        <f>IF($D28="Custom","",IFERROR(XLOOKUP($B28&amp;"|"&amp;$D28,ShiftKnowledge!$A$2:$A$9,ShiftKnowledge!$F$2:$F$9,""),IFERROR(INDEX(ShiftKnowledge!$F$2:$F$9,MATCH($B28&amp;"|"&amp;$D28,ShiftKnowledge!$A$2:$A$9,0)),"")))</f>
        <v/>
      </c>
      <c r="J28" s="6">
        <f>IF($D28="Custom","",IFERROR(XLOOKUP($B28&amp;"|"&amp;$D28,ShiftKnowledge!$A$2:$A$9,ShiftKnowledge!$G$2:$G$9,""),IFERROR(INDEX(ShiftKnowledge!$G$2:$G$9,MATCH($B28&amp;"|"&amp;$D28,ShiftKnowledge!$A$2:$A$9,0)),"")))</f>
        <v/>
      </c>
      <c r="K28" s="6">
        <f>IF($D28="Custom","",IFERROR(XLOOKUP($B28&amp;"|"&amp;$D28,ShiftKnowledge!$A$2:$A$9,ShiftKnowledge!$H$2:$H$9,""),IFERROR(INDEX(ShiftKnowledge!$H$2:$H$9,MATCH($B28&amp;"|"&amp;$D28,ShiftKnowledge!$A$2:$A$9,0)),"")))</f>
        <v/>
      </c>
      <c r="L28" s="6">
        <f>IF($D28="Custom","",IFERROR(XLOOKUP($B28&amp;"|"&amp;$D28,ShiftKnowledge!$A$2:$A$9,ShiftKnowledge!$I$2:$I$9,""),IFERROR(INDEX(ShiftKnowledge!$I$2:$I$9,MATCH($B28&amp;"|"&amp;$D28,ShiftKnowledge!$A$2:$A$9,0)),"")))</f>
        <v/>
      </c>
      <c r="M28" s="6" t="inlineStr"/>
    </row>
    <row r="29" ht="20" customHeight="1">
      <c r="A29" s="4" t="inlineStr">
        <is>
          <t>08/11/2025</t>
        </is>
      </c>
      <c r="B29" s="4" t="inlineStr">
        <is>
          <t>Endocrinology</t>
        </is>
      </c>
      <c r="C29" s="5" t="inlineStr">
        <is>
          <t>Dr. Mohamed Wisham</t>
        </is>
      </c>
      <c r="D29" s="4" t="inlineStr"/>
      <c r="E29" s="4">
        <f>IF($D29="Custom","",IFERROR(XLOOKUP($B29&amp;"|"&amp;$D29,ShiftKnowledge!$A$2:$A$9,ShiftKnowledge!$D$2:$D$9,""),IFERROR(INDEX(ShiftKnowledge!$D$2:$D$9,MATCH($B29&amp;"|"&amp;$D29,ShiftKnowledge!$A$2:$A$9,0)),"")))</f>
        <v/>
      </c>
      <c r="F29" s="4" t="inlineStr"/>
      <c r="G29" s="4">
        <f>IF(AND($I29="",$L29=""),"",IFERROR(VALUE($I29),0)+IFERROR(VALUE($L29),0))</f>
        <v/>
      </c>
      <c r="H29" s="4">
        <f>IF($D29="Custom","",IFERROR(XLOOKUP($B29&amp;"|"&amp;$D29,ShiftKnowledge!$A$2:$A$9,ShiftKnowledge!$E$2:$E$9,""),IFERROR(INDEX(ShiftKnowledge!$E$2:$E$9,MATCH($B29&amp;"|"&amp;$D29,ShiftKnowledge!$A$2:$A$9,0)),"")))</f>
        <v/>
      </c>
      <c r="I29" s="4">
        <f>IF($D29="Custom","",IFERROR(XLOOKUP($B29&amp;"|"&amp;$D29,ShiftKnowledge!$A$2:$A$9,ShiftKnowledge!$F$2:$F$9,""),IFERROR(INDEX(ShiftKnowledge!$F$2:$F$9,MATCH($B29&amp;"|"&amp;$D29,ShiftKnowledge!$A$2:$A$9,0)),"")))</f>
        <v/>
      </c>
      <c r="J29" s="4">
        <f>IF($D29="Custom","",IFERROR(XLOOKUP($B29&amp;"|"&amp;$D29,ShiftKnowledge!$A$2:$A$9,ShiftKnowledge!$G$2:$G$9,""),IFERROR(INDEX(ShiftKnowledge!$G$2:$G$9,MATCH($B29&amp;"|"&amp;$D29,ShiftKnowledge!$A$2:$A$9,0)),"")))</f>
        <v/>
      </c>
      <c r="K29" s="4">
        <f>IF($D29="Custom","",IFERROR(XLOOKUP($B29&amp;"|"&amp;$D29,ShiftKnowledge!$A$2:$A$9,ShiftKnowledge!$H$2:$H$9,""),IFERROR(INDEX(ShiftKnowledge!$H$2:$H$9,MATCH($B29&amp;"|"&amp;$D29,ShiftKnowledge!$A$2:$A$9,0)),"")))</f>
        <v/>
      </c>
      <c r="L29" s="4">
        <f>IF($D29="Custom","",IFERROR(XLOOKUP($B29&amp;"|"&amp;$D29,ShiftKnowledge!$A$2:$A$9,ShiftKnowledge!$I$2:$I$9,""),IFERROR(INDEX(ShiftKnowledge!$I$2:$I$9,MATCH($B29&amp;"|"&amp;$D29,ShiftKnowledge!$A$2:$A$9,0)),"")))</f>
        <v/>
      </c>
      <c r="M29" s="4" t="inlineStr"/>
    </row>
    <row r="30" ht="20" customHeight="1">
      <c r="A30" s="6" t="inlineStr">
        <is>
          <t>08/11/2025</t>
        </is>
      </c>
      <c r="B30" s="6" t="inlineStr">
        <is>
          <t>Cardiology</t>
        </is>
      </c>
      <c r="C30" s="7" t="inlineStr">
        <is>
          <t>Dr. Moosa Manik</t>
        </is>
      </c>
      <c r="D30" s="6" t="inlineStr"/>
      <c r="E30" s="6">
        <f>IF($D30="Custom","",IFERROR(XLOOKUP($B30&amp;"|"&amp;$D30,ShiftKnowledge!$A$2:$A$9,ShiftKnowledge!$D$2:$D$9,""),IFERROR(INDEX(ShiftKnowledge!$D$2:$D$9,MATCH($B30&amp;"|"&amp;$D30,ShiftKnowledge!$A$2:$A$9,0)),"")))</f>
        <v/>
      </c>
      <c r="F30" s="6" t="inlineStr"/>
      <c r="G30" s="6">
        <f>IF(AND($I30="",$L30=""),"",IFERROR(VALUE($I30),0)+IFERROR(VALUE($L30),0))</f>
        <v/>
      </c>
      <c r="H30" s="6">
        <f>IF($D30="Custom","",IFERROR(XLOOKUP($B30&amp;"|"&amp;$D30,ShiftKnowledge!$A$2:$A$9,ShiftKnowledge!$E$2:$E$9,""),IFERROR(INDEX(ShiftKnowledge!$E$2:$E$9,MATCH($B30&amp;"|"&amp;$D30,ShiftKnowledge!$A$2:$A$9,0)),"")))</f>
        <v/>
      </c>
      <c r="I30" s="6">
        <f>IF($D30="Custom","",IFERROR(XLOOKUP($B30&amp;"|"&amp;$D30,ShiftKnowledge!$A$2:$A$9,ShiftKnowledge!$F$2:$F$9,""),IFERROR(INDEX(ShiftKnowledge!$F$2:$F$9,MATCH($B30&amp;"|"&amp;$D30,ShiftKnowledge!$A$2:$A$9,0)),"")))</f>
        <v/>
      </c>
      <c r="J30" s="6">
        <f>IF($D30="Custom","",IFERROR(XLOOKUP($B30&amp;"|"&amp;$D30,ShiftKnowledge!$A$2:$A$9,ShiftKnowledge!$G$2:$G$9,""),IFERROR(INDEX(ShiftKnowledge!$G$2:$G$9,MATCH($B30&amp;"|"&amp;$D30,ShiftKnowledge!$A$2:$A$9,0)),"")))</f>
        <v/>
      </c>
      <c r="K30" s="6">
        <f>IF($D30="Custom","",IFERROR(XLOOKUP($B30&amp;"|"&amp;$D30,ShiftKnowledge!$A$2:$A$9,ShiftKnowledge!$H$2:$H$9,""),IFERROR(INDEX(ShiftKnowledge!$H$2:$H$9,MATCH($B30&amp;"|"&amp;$D30,ShiftKnowledge!$A$2:$A$9,0)),"")))</f>
        <v/>
      </c>
      <c r="L30" s="6">
        <f>IF($D30="Custom","",IFERROR(XLOOKUP($B30&amp;"|"&amp;$D30,ShiftKnowledge!$A$2:$A$9,ShiftKnowledge!$I$2:$I$9,""),IFERROR(INDEX(ShiftKnowledge!$I$2:$I$9,MATCH($B30&amp;"|"&amp;$D30,ShiftKnowledge!$A$2:$A$9,0)),"")))</f>
        <v/>
      </c>
      <c r="M30" s="6" t="inlineStr"/>
    </row>
    <row r="31" ht="20" customHeight="1">
      <c r="A31" s="4" t="inlineStr">
        <is>
          <t>08/11/2025</t>
        </is>
      </c>
      <c r="B31" s="4" t="inlineStr">
        <is>
          <t>Nephrology</t>
        </is>
      </c>
      <c r="C31" s="5" t="inlineStr">
        <is>
          <t>Dr. Muhammad Mujtaba Ur Rehman</t>
        </is>
      </c>
      <c r="D31" s="4" t="inlineStr"/>
      <c r="E31" s="4">
        <f>IF($D31="Custom","",IFERROR(XLOOKUP($B31&amp;"|"&amp;$D31,ShiftKnowledge!$A$2:$A$9,ShiftKnowledge!$D$2:$D$9,""),IFERROR(INDEX(ShiftKnowledge!$D$2:$D$9,MATCH($B31&amp;"|"&amp;$D31,ShiftKnowledge!$A$2:$A$9,0)),"")))</f>
        <v/>
      </c>
      <c r="F31" s="4" t="inlineStr"/>
      <c r="G31" s="4">
        <f>IF(AND($I31="",$L31=""),"",IFERROR(VALUE($I31),0)+IFERROR(VALUE($L31),0))</f>
        <v/>
      </c>
      <c r="H31" s="4">
        <f>IF($D31="Custom","",IFERROR(XLOOKUP($B31&amp;"|"&amp;$D31,ShiftKnowledge!$A$2:$A$9,ShiftKnowledge!$E$2:$E$9,""),IFERROR(INDEX(ShiftKnowledge!$E$2:$E$9,MATCH($B31&amp;"|"&amp;$D31,ShiftKnowledge!$A$2:$A$9,0)),"")))</f>
        <v/>
      </c>
      <c r="I31" s="4">
        <f>IF($D31="Custom","",IFERROR(XLOOKUP($B31&amp;"|"&amp;$D31,ShiftKnowledge!$A$2:$A$9,ShiftKnowledge!$F$2:$F$9,""),IFERROR(INDEX(ShiftKnowledge!$F$2:$F$9,MATCH($B31&amp;"|"&amp;$D31,ShiftKnowledge!$A$2:$A$9,0)),"")))</f>
        <v/>
      </c>
      <c r="J31" s="4">
        <f>IF($D31="Custom","",IFERROR(XLOOKUP($B31&amp;"|"&amp;$D31,ShiftKnowledge!$A$2:$A$9,ShiftKnowledge!$G$2:$G$9,""),IFERROR(INDEX(ShiftKnowledge!$G$2:$G$9,MATCH($B31&amp;"|"&amp;$D31,ShiftKnowledge!$A$2:$A$9,0)),"")))</f>
        <v/>
      </c>
      <c r="K31" s="4">
        <f>IF($D31="Custom","",IFERROR(XLOOKUP($B31&amp;"|"&amp;$D31,ShiftKnowledge!$A$2:$A$9,ShiftKnowledge!$H$2:$H$9,""),IFERROR(INDEX(ShiftKnowledge!$H$2:$H$9,MATCH($B31&amp;"|"&amp;$D31,ShiftKnowledge!$A$2:$A$9,0)),"")))</f>
        <v/>
      </c>
      <c r="L31" s="4">
        <f>IF($D31="Custom","",IFERROR(XLOOKUP($B31&amp;"|"&amp;$D31,ShiftKnowledge!$A$2:$A$9,ShiftKnowledge!$I$2:$I$9,""),IFERROR(INDEX(ShiftKnowledge!$I$2:$I$9,MATCH($B31&amp;"|"&amp;$D31,ShiftKnowledge!$A$2:$A$9,0)),"")))</f>
        <v/>
      </c>
      <c r="M31" s="4" t="inlineStr"/>
    </row>
    <row r="32" ht="20" customHeight="1">
      <c r="A32" s="6" t="inlineStr">
        <is>
          <t>08/11/2025</t>
        </is>
      </c>
      <c r="B32" s="6" t="inlineStr">
        <is>
          <t>Ophthalmology</t>
        </is>
      </c>
      <c r="C32" s="7" t="inlineStr">
        <is>
          <t>Dr. Nafeesa Abdul Latheef</t>
        </is>
      </c>
      <c r="D32" s="6" t="inlineStr"/>
      <c r="E32" s="6">
        <f>IF($D32="Custom","",IFERROR(XLOOKUP($B32&amp;"|"&amp;$D32,ShiftKnowledge!$A$2:$A$9,ShiftKnowledge!$D$2:$D$9,""),IFERROR(INDEX(ShiftKnowledge!$D$2:$D$9,MATCH($B32&amp;"|"&amp;$D32,ShiftKnowledge!$A$2:$A$9,0)),"")))</f>
        <v/>
      </c>
      <c r="F32" s="6" t="inlineStr"/>
      <c r="G32" s="6">
        <f>IF(AND($I32="",$L32=""),"",IFERROR(VALUE($I32),0)+IFERROR(VALUE($L32),0))</f>
        <v/>
      </c>
      <c r="H32" s="6">
        <f>IF($D32="Custom","",IFERROR(XLOOKUP($B32&amp;"|"&amp;$D32,ShiftKnowledge!$A$2:$A$9,ShiftKnowledge!$E$2:$E$9,""),IFERROR(INDEX(ShiftKnowledge!$E$2:$E$9,MATCH($B32&amp;"|"&amp;$D32,ShiftKnowledge!$A$2:$A$9,0)),"")))</f>
        <v/>
      </c>
      <c r="I32" s="6">
        <f>IF($D32="Custom","",IFERROR(XLOOKUP($B32&amp;"|"&amp;$D32,ShiftKnowledge!$A$2:$A$9,ShiftKnowledge!$F$2:$F$9,""),IFERROR(INDEX(ShiftKnowledge!$F$2:$F$9,MATCH($B32&amp;"|"&amp;$D32,ShiftKnowledge!$A$2:$A$9,0)),"")))</f>
        <v/>
      </c>
      <c r="J32" s="6">
        <f>IF($D32="Custom","",IFERROR(XLOOKUP($B32&amp;"|"&amp;$D32,ShiftKnowledge!$A$2:$A$9,ShiftKnowledge!$G$2:$G$9,""),IFERROR(INDEX(ShiftKnowledge!$G$2:$G$9,MATCH($B32&amp;"|"&amp;$D32,ShiftKnowledge!$A$2:$A$9,0)),"")))</f>
        <v/>
      </c>
      <c r="K32" s="6">
        <f>IF($D32="Custom","",IFERROR(XLOOKUP($B32&amp;"|"&amp;$D32,ShiftKnowledge!$A$2:$A$9,ShiftKnowledge!$H$2:$H$9,""),IFERROR(INDEX(ShiftKnowledge!$H$2:$H$9,MATCH($B32&amp;"|"&amp;$D32,ShiftKnowledge!$A$2:$A$9,0)),"")))</f>
        <v/>
      </c>
      <c r="L32" s="6">
        <f>IF($D32="Custom","",IFERROR(XLOOKUP($B32&amp;"|"&amp;$D32,ShiftKnowledge!$A$2:$A$9,ShiftKnowledge!$I$2:$I$9,""),IFERROR(INDEX(ShiftKnowledge!$I$2:$I$9,MATCH($B32&amp;"|"&amp;$D32,ShiftKnowledge!$A$2:$A$9,0)),"")))</f>
        <v/>
      </c>
      <c r="M32" s="6" t="inlineStr"/>
    </row>
    <row r="33" ht="20" customHeight="1">
      <c r="A33" s="4" t="inlineStr">
        <is>
          <t>08/11/2025</t>
        </is>
      </c>
      <c r="B33" s="4" t="inlineStr">
        <is>
          <t>ENT</t>
        </is>
      </c>
      <c r="C33" s="5" t="inlineStr">
        <is>
          <t>Dr. Nishesh Raj Shrestha</t>
        </is>
      </c>
      <c r="D33" s="4" t="inlineStr"/>
      <c r="E33" s="4">
        <f>IF($D33="Custom","",IFERROR(XLOOKUP($B33&amp;"|"&amp;$D33,ShiftKnowledge!$A$2:$A$9,ShiftKnowledge!$D$2:$D$9,""),IFERROR(INDEX(ShiftKnowledge!$D$2:$D$9,MATCH($B33&amp;"|"&amp;$D33,ShiftKnowledge!$A$2:$A$9,0)),"")))</f>
        <v/>
      </c>
      <c r="F33" s="4" t="inlineStr"/>
      <c r="G33" s="4">
        <f>IF(AND($I33="",$L33=""),"",IFERROR(VALUE($I33),0)+IFERROR(VALUE($L33),0))</f>
        <v/>
      </c>
      <c r="H33" s="4">
        <f>IF($D33="Custom","",IFERROR(XLOOKUP($B33&amp;"|"&amp;$D33,ShiftKnowledge!$A$2:$A$9,ShiftKnowledge!$E$2:$E$9,""),IFERROR(INDEX(ShiftKnowledge!$E$2:$E$9,MATCH($B33&amp;"|"&amp;$D33,ShiftKnowledge!$A$2:$A$9,0)),"")))</f>
        <v/>
      </c>
      <c r="I33" s="4">
        <f>IF($D33="Custom","",IFERROR(XLOOKUP($B33&amp;"|"&amp;$D33,ShiftKnowledge!$A$2:$A$9,ShiftKnowledge!$F$2:$F$9,""),IFERROR(INDEX(ShiftKnowledge!$F$2:$F$9,MATCH($B33&amp;"|"&amp;$D33,ShiftKnowledge!$A$2:$A$9,0)),"")))</f>
        <v/>
      </c>
      <c r="J33" s="4">
        <f>IF($D33="Custom","",IFERROR(XLOOKUP($B33&amp;"|"&amp;$D33,ShiftKnowledge!$A$2:$A$9,ShiftKnowledge!$G$2:$G$9,""),IFERROR(INDEX(ShiftKnowledge!$G$2:$G$9,MATCH($B33&amp;"|"&amp;$D33,ShiftKnowledge!$A$2:$A$9,0)),"")))</f>
        <v/>
      </c>
      <c r="K33" s="4">
        <f>IF($D33="Custom","",IFERROR(XLOOKUP($B33&amp;"|"&amp;$D33,ShiftKnowledge!$A$2:$A$9,ShiftKnowledge!$H$2:$H$9,""),IFERROR(INDEX(ShiftKnowledge!$H$2:$H$9,MATCH($B33&amp;"|"&amp;$D33,ShiftKnowledge!$A$2:$A$9,0)),"")))</f>
        <v/>
      </c>
      <c r="L33" s="4">
        <f>IF($D33="Custom","",IFERROR(XLOOKUP($B33&amp;"|"&amp;$D33,ShiftKnowledge!$A$2:$A$9,ShiftKnowledge!$I$2:$I$9,""),IFERROR(INDEX(ShiftKnowledge!$I$2:$I$9,MATCH($B33&amp;"|"&amp;$D33,ShiftKnowledge!$A$2:$A$9,0)),"")))</f>
        <v/>
      </c>
      <c r="M33" s="4" t="inlineStr"/>
    </row>
    <row r="34" ht="20" customHeight="1">
      <c r="A34" s="6" t="inlineStr">
        <is>
          <t>08/11/2025</t>
        </is>
      </c>
      <c r="B34" s="6" t="inlineStr">
        <is>
          <t>ENT</t>
        </is>
      </c>
      <c r="C34" s="7" t="inlineStr">
        <is>
          <t>Dr. Rachit Pokharel</t>
        </is>
      </c>
      <c r="D34" s="6" t="inlineStr"/>
      <c r="E34" s="6">
        <f>IF($D34="Custom","",IFERROR(XLOOKUP($B34&amp;"|"&amp;$D34,ShiftKnowledge!$A$2:$A$9,ShiftKnowledge!$D$2:$D$9,""),IFERROR(INDEX(ShiftKnowledge!$D$2:$D$9,MATCH($B34&amp;"|"&amp;$D34,ShiftKnowledge!$A$2:$A$9,0)),"")))</f>
        <v/>
      </c>
      <c r="F34" s="6" t="inlineStr"/>
      <c r="G34" s="6">
        <f>IF(AND($I34="",$L34=""),"",IFERROR(VALUE($I34),0)+IFERROR(VALUE($L34),0))</f>
        <v/>
      </c>
      <c r="H34" s="6">
        <f>IF($D34="Custom","",IFERROR(XLOOKUP($B34&amp;"|"&amp;$D34,ShiftKnowledge!$A$2:$A$9,ShiftKnowledge!$E$2:$E$9,""),IFERROR(INDEX(ShiftKnowledge!$E$2:$E$9,MATCH($B34&amp;"|"&amp;$D34,ShiftKnowledge!$A$2:$A$9,0)),"")))</f>
        <v/>
      </c>
      <c r="I34" s="6">
        <f>IF($D34="Custom","",IFERROR(XLOOKUP($B34&amp;"|"&amp;$D34,ShiftKnowledge!$A$2:$A$9,ShiftKnowledge!$F$2:$F$9,""),IFERROR(INDEX(ShiftKnowledge!$F$2:$F$9,MATCH($B34&amp;"|"&amp;$D34,ShiftKnowledge!$A$2:$A$9,0)),"")))</f>
        <v/>
      </c>
      <c r="J34" s="6">
        <f>IF($D34="Custom","",IFERROR(XLOOKUP($B34&amp;"|"&amp;$D34,ShiftKnowledge!$A$2:$A$9,ShiftKnowledge!$G$2:$G$9,""),IFERROR(INDEX(ShiftKnowledge!$G$2:$G$9,MATCH($B34&amp;"|"&amp;$D34,ShiftKnowledge!$A$2:$A$9,0)),"")))</f>
        <v/>
      </c>
      <c r="K34" s="6">
        <f>IF($D34="Custom","",IFERROR(XLOOKUP($B34&amp;"|"&amp;$D34,ShiftKnowledge!$A$2:$A$9,ShiftKnowledge!$H$2:$H$9,""),IFERROR(INDEX(ShiftKnowledge!$H$2:$H$9,MATCH($B34&amp;"|"&amp;$D34,ShiftKnowledge!$A$2:$A$9,0)),"")))</f>
        <v/>
      </c>
      <c r="L34" s="6">
        <f>IF($D34="Custom","",IFERROR(XLOOKUP($B34&amp;"|"&amp;$D34,ShiftKnowledge!$A$2:$A$9,ShiftKnowledge!$I$2:$I$9,""),IFERROR(INDEX(ShiftKnowledge!$I$2:$I$9,MATCH($B34&amp;"|"&amp;$D34,ShiftKnowledge!$A$2:$A$9,0)),"")))</f>
        <v/>
      </c>
      <c r="M34" s="6" t="inlineStr"/>
    </row>
    <row r="35" ht="20" customHeight="1">
      <c r="A35" s="4" t="inlineStr">
        <is>
          <t>08/11/2025</t>
        </is>
      </c>
      <c r="B35" s="4" t="inlineStr">
        <is>
          <t>Ophthalmology</t>
        </is>
      </c>
      <c r="C35" s="5" t="inlineStr">
        <is>
          <t>Dr. Remon Girgis Lamee Girgis</t>
        </is>
      </c>
      <c r="D35" s="4" t="inlineStr"/>
      <c r="E35" s="4">
        <f>IF($D35="Custom","",IFERROR(XLOOKUP($B35&amp;"|"&amp;$D35,ShiftKnowledge!$A$2:$A$9,ShiftKnowledge!$D$2:$D$9,""),IFERROR(INDEX(ShiftKnowledge!$D$2:$D$9,MATCH($B35&amp;"|"&amp;$D35,ShiftKnowledge!$A$2:$A$9,0)),"")))</f>
        <v/>
      </c>
      <c r="F35" s="4" t="inlineStr"/>
      <c r="G35" s="4">
        <f>IF(AND($I35="",$L35=""),"",IFERROR(VALUE($I35),0)+IFERROR(VALUE($L35),0))</f>
        <v/>
      </c>
      <c r="H35" s="4">
        <f>IF($D35="Custom","",IFERROR(XLOOKUP($B35&amp;"|"&amp;$D35,ShiftKnowledge!$A$2:$A$9,ShiftKnowledge!$E$2:$E$9,""),IFERROR(INDEX(ShiftKnowledge!$E$2:$E$9,MATCH($B35&amp;"|"&amp;$D35,ShiftKnowledge!$A$2:$A$9,0)),"")))</f>
        <v/>
      </c>
      <c r="I35" s="4">
        <f>IF($D35="Custom","",IFERROR(XLOOKUP($B35&amp;"|"&amp;$D35,ShiftKnowledge!$A$2:$A$9,ShiftKnowledge!$F$2:$F$9,""),IFERROR(INDEX(ShiftKnowledge!$F$2:$F$9,MATCH($B35&amp;"|"&amp;$D35,ShiftKnowledge!$A$2:$A$9,0)),"")))</f>
        <v/>
      </c>
      <c r="J35" s="4">
        <f>IF($D35="Custom","",IFERROR(XLOOKUP($B35&amp;"|"&amp;$D35,ShiftKnowledge!$A$2:$A$9,ShiftKnowledge!$G$2:$G$9,""),IFERROR(INDEX(ShiftKnowledge!$G$2:$G$9,MATCH($B35&amp;"|"&amp;$D35,ShiftKnowledge!$A$2:$A$9,0)),"")))</f>
        <v/>
      </c>
      <c r="K35" s="4">
        <f>IF($D35="Custom","",IFERROR(XLOOKUP($B35&amp;"|"&amp;$D35,ShiftKnowledge!$A$2:$A$9,ShiftKnowledge!$H$2:$H$9,""),IFERROR(INDEX(ShiftKnowledge!$H$2:$H$9,MATCH($B35&amp;"|"&amp;$D35,ShiftKnowledge!$A$2:$A$9,0)),"")))</f>
        <v/>
      </c>
      <c r="L35" s="4">
        <f>IF($D35="Custom","",IFERROR(XLOOKUP($B35&amp;"|"&amp;$D35,ShiftKnowledge!$A$2:$A$9,ShiftKnowledge!$I$2:$I$9,""),IFERROR(INDEX(ShiftKnowledge!$I$2:$I$9,MATCH($B35&amp;"|"&amp;$D35,ShiftKnowledge!$A$2:$A$9,0)),"")))</f>
        <v/>
      </c>
      <c r="M35" s="4" t="inlineStr"/>
    </row>
    <row r="36" ht="20" customHeight="1">
      <c r="A36" s="6" t="inlineStr">
        <is>
          <t>08/11/2025</t>
        </is>
      </c>
      <c r="B36" s="6" t="inlineStr">
        <is>
          <t>Paediatrics</t>
        </is>
      </c>
      <c r="C36" s="7" t="inlineStr">
        <is>
          <t>Dr. Roshan Kumar Dikshit</t>
        </is>
      </c>
      <c r="D36" s="6" t="inlineStr"/>
      <c r="E36" s="6">
        <f>IF($D36="Custom","",IFERROR(XLOOKUP($B36&amp;"|"&amp;$D36,ShiftKnowledge!$A$2:$A$9,ShiftKnowledge!$D$2:$D$9,""),IFERROR(INDEX(ShiftKnowledge!$D$2:$D$9,MATCH($B36&amp;"|"&amp;$D36,ShiftKnowledge!$A$2:$A$9,0)),"")))</f>
        <v/>
      </c>
      <c r="F36" s="6" t="inlineStr"/>
      <c r="G36" s="6">
        <f>IF(AND($I36="",$L36=""),"",IFERROR(VALUE($I36),0)+IFERROR(VALUE($L36),0))</f>
        <v/>
      </c>
      <c r="H36" s="6">
        <f>IF($D36="Custom","",IFERROR(XLOOKUP($B36&amp;"|"&amp;$D36,ShiftKnowledge!$A$2:$A$9,ShiftKnowledge!$E$2:$E$9,""),IFERROR(INDEX(ShiftKnowledge!$E$2:$E$9,MATCH($B36&amp;"|"&amp;$D36,ShiftKnowledge!$A$2:$A$9,0)),"")))</f>
        <v/>
      </c>
      <c r="I36" s="6">
        <f>IF($D36="Custom","",IFERROR(XLOOKUP($B36&amp;"|"&amp;$D36,ShiftKnowledge!$A$2:$A$9,ShiftKnowledge!$F$2:$F$9,""),IFERROR(INDEX(ShiftKnowledge!$F$2:$F$9,MATCH($B36&amp;"|"&amp;$D36,ShiftKnowledge!$A$2:$A$9,0)),"")))</f>
        <v/>
      </c>
      <c r="J36" s="6">
        <f>IF($D36="Custom","",IFERROR(XLOOKUP($B36&amp;"|"&amp;$D36,ShiftKnowledge!$A$2:$A$9,ShiftKnowledge!$G$2:$G$9,""),IFERROR(INDEX(ShiftKnowledge!$G$2:$G$9,MATCH($B36&amp;"|"&amp;$D36,ShiftKnowledge!$A$2:$A$9,0)),"")))</f>
        <v/>
      </c>
      <c r="K36" s="6">
        <f>IF($D36="Custom","",IFERROR(XLOOKUP($B36&amp;"|"&amp;$D36,ShiftKnowledge!$A$2:$A$9,ShiftKnowledge!$H$2:$H$9,""),IFERROR(INDEX(ShiftKnowledge!$H$2:$H$9,MATCH($B36&amp;"|"&amp;$D36,ShiftKnowledge!$A$2:$A$9,0)),"")))</f>
        <v/>
      </c>
      <c r="L36" s="6">
        <f>IF($D36="Custom","",IFERROR(XLOOKUP($B36&amp;"|"&amp;$D36,ShiftKnowledge!$A$2:$A$9,ShiftKnowledge!$I$2:$I$9,""),IFERROR(INDEX(ShiftKnowledge!$I$2:$I$9,MATCH($B36&amp;"|"&amp;$D36,ShiftKnowledge!$A$2:$A$9,0)),"")))</f>
        <v/>
      </c>
      <c r="M36" s="6" t="inlineStr"/>
    </row>
    <row r="37" ht="20" customHeight="1">
      <c r="A37" s="4" t="inlineStr">
        <is>
          <t>08/11/2025</t>
        </is>
      </c>
      <c r="B37" s="4" t="inlineStr">
        <is>
          <t>Ophthalmology</t>
        </is>
      </c>
      <c r="C37" s="5" t="inlineStr">
        <is>
          <t>Dr. Roxy Devi Chirom</t>
        </is>
      </c>
      <c r="D37" s="4" t="inlineStr"/>
      <c r="E37" s="4">
        <f>IF($D37="Custom","",IFERROR(XLOOKUP($B37&amp;"|"&amp;$D37,ShiftKnowledge!$A$2:$A$9,ShiftKnowledge!$D$2:$D$9,""),IFERROR(INDEX(ShiftKnowledge!$D$2:$D$9,MATCH($B37&amp;"|"&amp;$D37,ShiftKnowledge!$A$2:$A$9,0)),"")))</f>
        <v/>
      </c>
      <c r="F37" s="4" t="inlineStr"/>
      <c r="G37" s="4">
        <f>IF(AND($I37="",$L37=""),"",IFERROR(VALUE($I37),0)+IFERROR(VALUE($L37),0))</f>
        <v/>
      </c>
      <c r="H37" s="4">
        <f>IF($D37="Custom","",IFERROR(XLOOKUP($B37&amp;"|"&amp;$D37,ShiftKnowledge!$A$2:$A$9,ShiftKnowledge!$E$2:$E$9,""),IFERROR(INDEX(ShiftKnowledge!$E$2:$E$9,MATCH($B37&amp;"|"&amp;$D37,ShiftKnowledge!$A$2:$A$9,0)),"")))</f>
        <v/>
      </c>
      <c r="I37" s="4">
        <f>IF($D37="Custom","",IFERROR(XLOOKUP($B37&amp;"|"&amp;$D37,ShiftKnowledge!$A$2:$A$9,ShiftKnowledge!$F$2:$F$9,""),IFERROR(INDEX(ShiftKnowledge!$F$2:$F$9,MATCH($B37&amp;"|"&amp;$D37,ShiftKnowledge!$A$2:$A$9,0)),"")))</f>
        <v/>
      </c>
      <c r="J37" s="4">
        <f>IF($D37="Custom","",IFERROR(XLOOKUP($B37&amp;"|"&amp;$D37,ShiftKnowledge!$A$2:$A$9,ShiftKnowledge!$G$2:$G$9,""),IFERROR(INDEX(ShiftKnowledge!$G$2:$G$9,MATCH($B37&amp;"|"&amp;$D37,ShiftKnowledge!$A$2:$A$9,0)),"")))</f>
        <v/>
      </c>
      <c r="K37" s="4">
        <f>IF($D37="Custom","",IFERROR(XLOOKUP($B37&amp;"|"&amp;$D37,ShiftKnowledge!$A$2:$A$9,ShiftKnowledge!$H$2:$H$9,""),IFERROR(INDEX(ShiftKnowledge!$H$2:$H$9,MATCH($B37&amp;"|"&amp;$D37,ShiftKnowledge!$A$2:$A$9,0)),"")))</f>
        <v/>
      </c>
      <c r="L37" s="4">
        <f>IF($D37="Custom","",IFERROR(XLOOKUP($B37&amp;"|"&amp;$D37,ShiftKnowledge!$A$2:$A$9,ShiftKnowledge!$I$2:$I$9,""),IFERROR(INDEX(ShiftKnowledge!$I$2:$I$9,MATCH($B37&amp;"|"&amp;$D37,ShiftKnowledge!$A$2:$A$9,0)),"")))</f>
        <v/>
      </c>
      <c r="M37" s="4" t="inlineStr"/>
    </row>
    <row r="38" ht="20" customHeight="1">
      <c r="A38" s="6" t="inlineStr">
        <is>
          <t>08/11/2025</t>
        </is>
      </c>
      <c r="B38" s="6" t="inlineStr">
        <is>
          <t>General Surgery</t>
        </is>
      </c>
      <c r="C38" s="7" t="inlineStr">
        <is>
          <t>Dr. Rubab Nafees</t>
        </is>
      </c>
      <c r="D38" s="6" t="inlineStr"/>
      <c r="E38" s="6">
        <f>IF($D38="Custom","",IFERROR(XLOOKUP($B38&amp;"|"&amp;$D38,ShiftKnowledge!$A$2:$A$9,ShiftKnowledge!$D$2:$D$9,""),IFERROR(INDEX(ShiftKnowledge!$D$2:$D$9,MATCH($B38&amp;"|"&amp;$D38,ShiftKnowledge!$A$2:$A$9,0)),"")))</f>
        <v/>
      </c>
      <c r="F38" s="6" t="inlineStr"/>
      <c r="G38" s="6">
        <f>IF(AND($I38="",$L38=""),"",IFERROR(VALUE($I38),0)+IFERROR(VALUE($L38),0))</f>
        <v/>
      </c>
      <c r="H38" s="6">
        <f>IF($D38="Custom","",IFERROR(XLOOKUP($B38&amp;"|"&amp;$D38,ShiftKnowledge!$A$2:$A$9,ShiftKnowledge!$E$2:$E$9,""),IFERROR(INDEX(ShiftKnowledge!$E$2:$E$9,MATCH($B38&amp;"|"&amp;$D38,ShiftKnowledge!$A$2:$A$9,0)),"")))</f>
        <v/>
      </c>
      <c r="I38" s="6">
        <f>IF($D38="Custom","",IFERROR(XLOOKUP($B38&amp;"|"&amp;$D38,ShiftKnowledge!$A$2:$A$9,ShiftKnowledge!$F$2:$F$9,""),IFERROR(INDEX(ShiftKnowledge!$F$2:$F$9,MATCH($B38&amp;"|"&amp;$D38,ShiftKnowledge!$A$2:$A$9,0)),"")))</f>
        <v/>
      </c>
      <c r="J38" s="6">
        <f>IF($D38="Custom","",IFERROR(XLOOKUP($B38&amp;"|"&amp;$D38,ShiftKnowledge!$A$2:$A$9,ShiftKnowledge!$G$2:$G$9,""),IFERROR(INDEX(ShiftKnowledge!$G$2:$G$9,MATCH($B38&amp;"|"&amp;$D38,ShiftKnowledge!$A$2:$A$9,0)),"")))</f>
        <v/>
      </c>
      <c r="K38" s="6">
        <f>IF($D38="Custom","",IFERROR(XLOOKUP($B38&amp;"|"&amp;$D38,ShiftKnowledge!$A$2:$A$9,ShiftKnowledge!$H$2:$H$9,""),IFERROR(INDEX(ShiftKnowledge!$H$2:$H$9,MATCH($B38&amp;"|"&amp;$D38,ShiftKnowledge!$A$2:$A$9,0)),"")))</f>
        <v/>
      </c>
      <c r="L38" s="6">
        <f>IF($D38="Custom","",IFERROR(XLOOKUP($B38&amp;"|"&amp;$D38,ShiftKnowledge!$A$2:$A$9,ShiftKnowledge!$I$2:$I$9,""),IFERROR(INDEX(ShiftKnowledge!$I$2:$I$9,MATCH($B38&amp;"|"&amp;$D38,ShiftKnowledge!$A$2:$A$9,0)),"")))</f>
        <v/>
      </c>
      <c r="M38" s="6" t="inlineStr"/>
    </row>
    <row r="39" ht="20" customHeight="1">
      <c r="A39" s="4" t="inlineStr">
        <is>
          <t>08/11/2025</t>
        </is>
      </c>
      <c r="B39" s="4" t="inlineStr">
        <is>
          <t>Gynaecology</t>
        </is>
      </c>
      <c r="C39" s="5" t="inlineStr">
        <is>
          <t>Dr. Rubeena Badar Khan</t>
        </is>
      </c>
      <c r="D39" s="4" t="inlineStr"/>
      <c r="E39" s="4">
        <f>IF($D39="Custom","",IFERROR(XLOOKUP($B39&amp;"|"&amp;$D39,ShiftKnowledge!$A$2:$A$9,ShiftKnowledge!$D$2:$D$9,""),IFERROR(INDEX(ShiftKnowledge!$D$2:$D$9,MATCH($B39&amp;"|"&amp;$D39,ShiftKnowledge!$A$2:$A$9,0)),"")))</f>
        <v/>
      </c>
      <c r="F39" s="4" t="inlineStr"/>
      <c r="G39" s="4">
        <f>IF(AND($I39="",$L39=""),"",IFERROR(VALUE($I39),0)+IFERROR(VALUE($L39),0))</f>
        <v/>
      </c>
      <c r="H39" s="4">
        <f>IF($D39="Custom","",IFERROR(XLOOKUP($B39&amp;"|"&amp;$D39,ShiftKnowledge!$A$2:$A$9,ShiftKnowledge!$E$2:$E$9,""),IFERROR(INDEX(ShiftKnowledge!$E$2:$E$9,MATCH($B39&amp;"|"&amp;$D39,ShiftKnowledge!$A$2:$A$9,0)),"")))</f>
        <v/>
      </c>
      <c r="I39" s="4">
        <f>IF($D39="Custom","",IFERROR(XLOOKUP($B39&amp;"|"&amp;$D39,ShiftKnowledge!$A$2:$A$9,ShiftKnowledge!$F$2:$F$9,""),IFERROR(INDEX(ShiftKnowledge!$F$2:$F$9,MATCH($B39&amp;"|"&amp;$D39,ShiftKnowledge!$A$2:$A$9,0)),"")))</f>
        <v/>
      </c>
      <c r="J39" s="4">
        <f>IF($D39="Custom","",IFERROR(XLOOKUP($B39&amp;"|"&amp;$D39,ShiftKnowledge!$A$2:$A$9,ShiftKnowledge!$G$2:$G$9,""),IFERROR(INDEX(ShiftKnowledge!$G$2:$G$9,MATCH($B39&amp;"|"&amp;$D39,ShiftKnowledge!$A$2:$A$9,0)),"")))</f>
        <v/>
      </c>
      <c r="K39" s="4">
        <f>IF($D39="Custom","",IFERROR(XLOOKUP($B39&amp;"|"&amp;$D39,ShiftKnowledge!$A$2:$A$9,ShiftKnowledge!$H$2:$H$9,""),IFERROR(INDEX(ShiftKnowledge!$H$2:$H$9,MATCH($B39&amp;"|"&amp;$D39,ShiftKnowledge!$A$2:$A$9,0)),"")))</f>
        <v/>
      </c>
      <c r="L39" s="4">
        <f>IF($D39="Custom","",IFERROR(XLOOKUP($B39&amp;"|"&amp;$D39,ShiftKnowledge!$A$2:$A$9,ShiftKnowledge!$I$2:$I$9,""),IFERROR(INDEX(ShiftKnowledge!$I$2:$I$9,MATCH($B39&amp;"|"&amp;$D39,ShiftKnowledge!$A$2:$A$9,0)),"")))</f>
        <v/>
      </c>
      <c r="M39" s="4" t="inlineStr"/>
    </row>
    <row r="40" ht="20" customHeight="1">
      <c r="A40" s="6" t="inlineStr">
        <is>
          <t>08/11/2025</t>
        </is>
      </c>
      <c r="B40" s="6" t="inlineStr">
        <is>
          <t>Dental</t>
        </is>
      </c>
      <c r="C40" s="7" t="inlineStr">
        <is>
          <t>Dr. Safa Abdul Gayyoom</t>
        </is>
      </c>
      <c r="D40" s="6" t="inlineStr"/>
      <c r="E40" s="6">
        <f>IF($D40="Custom","",IFERROR(XLOOKUP($B40&amp;"|"&amp;$D40,ShiftKnowledge!$A$2:$A$9,ShiftKnowledge!$D$2:$D$9,""),IFERROR(INDEX(ShiftKnowledge!$D$2:$D$9,MATCH($B40&amp;"|"&amp;$D40,ShiftKnowledge!$A$2:$A$9,0)),"")))</f>
        <v/>
      </c>
      <c r="F40" s="6" t="inlineStr"/>
      <c r="G40" s="6">
        <f>IF(AND($I40="",$L40=""),"",IFERROR(VALUE($I40),0)+IFERROR(VALUE($L40),0))</f>
        <v/>
      </c>
      <c r="H40" s="6">
        <f>IF($D40="Custom","",IFERROR(XLOOKUP($B40&amp;"|"&amp;$D40,ShiftKnowledge!$A$2:$A$9,ShiftKnowledge!$E$2:$E$9,""),IFERROR(INDEX(ShiftKnowledge!$E$2:$E$9,MATCH($B40&amp;"|"&amp;$D40,ShiftKnowledge!$A$2:$A$9,0)),"")))</f>
        <v/>
      </c>
      <c r="I40" s="6">
        <f>IF($D40="Custom","",IFERROR(XLOOKUP($B40&amp;"|"&amp;$D40,ShiftKnowledge!$A$2:$A$9,ShiftKnowledge!$F$2:$F$9,""),IFERROR(INDEX(ShiftKnowledge!$F$2:$F$9,MATCH($B40&amp;"|"&amp;$D40,ShiftKnowledge!$A$2:$A$9,0)),"")))</f>
        <v/>
      </c>
      <c r="J40" s="6">
        <f>IF($D40="Custom","",IFERROR(XLOOKUP($B40&amp;"|"&amp;$D40,ShiftKnowledge!$A$2:$A$9,ShiftKnowledge!$G$2:$G$9,""),IFERROR(INDEX(ShiftKnowledge!$G$2:$G$9,MATCH($B40&amp;"|"&amp;$D40,ShiftKnowledge!$A$2:$A$9,0)),"")))</f>
        <v/>
      </c>
      <c r="K40" s="6">
        <f>IF($D40="Custom","",IFERROR(XLOOKUP($B40&amp;"|"&amp;$D40,ShiftKnowledge!$A$2:$A$9,ShiftKnowledge!$H$2:$H$9,""),IFERROR(INDEX(ShiftKnowledge!$H$2:$H$9,MATCH($B40&amp;"|"&amp;$D40,ShiftKnowledge!$A$2:$A$9,0)),"")))</f>
        <v/>
      </c>
      <c r="L40" s="6">
        <f>IF($D40="Custom","",IFERROR(XLOOKUP($B40&amp;"|"&amp;$D40,ShiftKnowledge!$A$2:$A$9,ShiftKnowledge!$I$2:$I$9,""),IFERROR(INDEX(ShiftKnowledge!$I$2:$I$9,MATCH($B40&amp;"|"&amp;$D40,ShiftKnowledge!$A$2:$A$9,0)),"")))</f>
        <v/>
      </c>
      <c r="M40" s="6" t="inlineStr"/>
    </row>
    <row r="41" ht="20" customHeight="1">
      <c r="A41" s="4" t="inlineStr">
        <is>
          <t>08/11/2025</t>
        </is>
      </c>
      <c r="B41" s="4" t="inlineStr">
        <is>
          <t>Internal Medicine</t>
        </is>
      </c>
      <c r="C41" s="5" t="inlineStr">
        <is>
          <t>Dr. Saroj Thapa</t>
        </is>
      </c>
      <c r="D41" s="4" t="inlineStr"/>
      <c r="E41" s="4">
        <f>IF($D41="Custom","",IFERROR(XLOOKUP($B41&amp;"|"&amp;$D41,ShiftKnowledge!$A$2:$A$9,ShiftKnowledge!$D$2:$D$9,""),IFERROR(INDEX(ShiftKnowledge!$D$2:$D$9,MATCH($B41&amp;"|"&amp;$D41,ShiftKnowledge!$A$2:$A$9,0)),"")))</f>
        <v/>
      </c>
      <c r="F41" s="4" t="inlineStr"/>
      <c r="G41" s="4">
        <f>IF(AND($I41="",$L41=""),"",IFERROR(VALUE($I41),0)+IFERROR(VALUE($L41),0))</f>
        <v/>
      </c>
      <c r="H41" s="4">
        <f>IF($D41="Custom","",IFERROR(XLOOKUP($B41&amp;"|"&amp;$D41,ShiftKnowledge!$A$2:$A$9,ShiftKnowledge!$E$2:$E$9,""),IFERROR(INDEX(ShiftKnowledge!$E$2:$E$9,MATCH($B41&amp;"|"&amp;$D41,ShiftKnowledge!$A$2:$A$9,0)),"")))</f>
        <v/>
      </c>
      <c r="I41" s="4">
        <f>IF($D41="Custom","",IFERROR(XLOOKUP($B41&amp;"|"&amp;$D41,ShiftKnowledge!$A$2:$A$9,ShiftKnowledge!$F$2:$F$9,""),IFERROR(INDEX(ShiftKnowledge!$F$2:$F$9,MATCH($B41&amp;"|"&amp;$D41,ShiftKnowledge!$A$2:$A$9,0)),"")))</f>
        <v/>
      </c>
      <c r="J41" s="4">
        <f>IF($D41="Custom","",IFERROR(XLOOKUP($B41&amp;"|"&amp;$D41,ShiftKnowledge!$A$2:$A$9,ShiftKnowledge!$G$2:$G$9,""),IFERROR(INDEX(ShiftKnowledge!$G$2:$G$9,MATCH($B41&amp;"|"&amp;$D41,ShiftKnowledge!$A$2:$A$9,0)),"")))</f>
        <v/>
      </c>
      <c r="K41" s="4">
        <f>IF($D41="Custom","",IFERROR(XLOOKUP($B41&amp;"|"&amp;$D41,ShiftKnowledge!$A$2:$A$9,ShiftKnowledge!$H$2:$H$9,""),IFERROR(INDEX(ShiftKnowledge!$H$2:$H$9,MATCH($B41&amp;"|"&amp;$D41,ShiftKnowledge!$A$2:$A$9,0)),"")))</f>
        <v/>
      </c>
      <c r="L41" s="4">
        <f>IF($D41="Custom","",IFERROR(XLOOKUP($B41&amp;"|"&amp;$D41,ShiftKnowledge!$A$2:$A$9,ShiftKnowledge!$I$2:$I$9,""),IFERROR(INDEX(ShiftKnowledge!$I$2:$I$9,MATCH($B41&amp;"|"&amp;$D41,ShiftKnowledge!$A$2:$A$9,0)),"")))</f>
        <v/>
      </c>
      <c r="M41" s="4" t="inlineStr"/>
    </row>
    <row r="42" ht="20" customHeight="1">
      <c r="A42" s="6" t="inlineStr">
        <is>
          <t>08/11/2025</t>
        </is>
      </c>
      <c r="B42" s="6" t="inlineStr">
        <is>
          <t>General Surgery</t>
        </is>
      </c>
      <c r="C42" s="7" t="inlineStr">
        <is>
          <t>Dr. Su Mon Kyaw</t>
        </is>
      </c>
      <c r="D42" s="6" t="inlineStr"/>
      <c r="E42" s="6">
        <f>IF($D42="Custom","",IFERROR(XLOOKUP($B42&amp;"|"&amp;$D42,ShiftKnowledge!$A$2:$A$9,ShiftKnowledge!$D$2:$D$9,""),IFERROR(INDEX(ShiftKnowledge!$D$2:$D$9,MATCH($B42&amp;"|"&amp;$D42,ShiftKnowledge!$A$2:$A$9,0)),"")))</f>
        <v/>
      </c>
      <c r="F42" s="6" t="inlineStr"/>
      <c r="G42" s="6">
        <f>IF(AND($I42="",$L42=""),"",IFERROR(VALUE($I42),0)+IFERROR(VALUE($L42),0))</f>
        <v/>
      </c>
      <c r="H42" s="6">
        <f>IF($D42="Custom","",IFERROR(XLOOKUP($B42&amp;"|"&amp;$D42,ShiftKnowledge!$A$2:$A$9,ShiftKnowledge!$E$2:$E$9,""),IFERROR(INDEX(ShiftKnowledge!$E$2:$E$9,MATCH($B42&amp;"|"&amp;$D42,ShiftKnowledge!$A$2:$A$9,0)),"")))</f>
        <v/>
      </c>
      <c r="I42" s="6">
        <f>IF($D42="Custom","",IFERROR(XLOOKUP($B42&amp;"|"&amp;$D42,ShiftKnowledge!$A$2:$A$9,ShiftKnowledge!$F$2:$F$9,""),IFERROR(INDEX(ShiftKnowledge!$F$2:$F$9,MATCH($B42&amp;"|"&amp;$D42,ShiftKnowledge!$A$2:$A$9,0)),"")))</f>
        <v/>
      </c>
      <c r="J42" s="6">
        <f>IF($D42="Custom","",IFERROR(XLOOKUP($B42&amp;"|"&amp;$D42,ShiftKnowledge!$A$2:$A$9,ShiftKnowledge!$G$2:$G$9,""),IFERROR(INDEX(ShiftKnowledge!$G$2:$G$9,MATCH($B42&amp;"|"&amp;$D42,ShiftKnowledge!$A$2:$A$9,0)),"")))</f>
        <v/>
      </c>
      <c r="K42" s="6">
        <f>IF($D42="Custom","",IFERROR(XLOOKUP($B42&amp;"|"&amp;$D42,ShiftKnowledge!$A$2:$A$9,ShiftKnowledge!$H$2:$H$9,""),IFERROR(INDEX(ShiftKnowledge!$H$2:$H$9,MATCH($B42&amp;"|"&amp;$D42,ShiftKnowledge!$A$2:$A$9,0)),"")))</f>
        <v/>
      </c>
      <c r="L42" s="6">
        <f>IF($D42="Custom","",IFERROR(XLOOKUP($B42&amp;"|"&amp;$D42,ShiftKnowledge!$A$2:$A$9,ShiftKnowledge!$I$2:$I$9,""),IFERROR(INDEX(ShiftKnowledge!$I$2:$I$9,MATCH($B42&amp;"|"&amp;$D42,ShiftKnowledge!$A$2:$A$9,0)),"")))</f>
        <v/>
      </c>
      <c r="M42" s="6" t="inlineStr"/>
    </row>
    <row r="43" ht="20" customHeight="1">
      <c r="A43" s="4" t="inlineStr">
        <is>
          <t>08/11/2025</t>
        </is>
      </c>
      <c r="B43" s="4" t="inlineStr">
        <is>
          <t>Internal Medicine</t>
        </is>
      </c>
      <c r="C43" s="5" t="inlineStr">
        <is>
          <t>Dr. Sumretee</t>
        </is>
      </c>
      <c r="D43" s="4" t="inlineStr"/>
      <c r="E43" s="4">
        <f>IF($D43="Custom","",IFERROR(XLOOKUP($B43&amp;"|"&amp;$D43,ShiftKnowledge!$A$2:$A$9,ShiftKnowledge!$D$2:$D$9,""),IFERROR(INDEX(ShiftKnowledge!$D$2:$D$9,MATCH($B43&amp;"|"&amp;$D43,ShiftKnowledge!$A$2:$A$9,0)),"")))</f>
        <v/>
      </c>
      <c r="F43" s="4" t="inlineStr"/>
      <c r="G43" s="4">
        <f>IF(AND($I43="",$L43=""),"",IFERROR(VALUE($I43),0)+IFERROR(VALUE($L43),0))</f>
        <v/>
      </c>
      <c r="H43" s="4">
        <f>IF($D43="Custom","",IFERROR(XLOOKUP($B43&amp;"|"&amp;$D43,ShiftKnowledge!$A$2:$A$9,ShiftKnowledge!$E$2:$E$9,""),IFERROR(INDEX(ShiftKnowledge!$E$2:$E$9,MATCH($B43&amp;"|"&amp;$D43,ShiftKnowledge!$A$2:$A$9,0)),"")))</f>
        <v/>
      </c>
      <c r="I43" s="4">
        <f>IF($D43="Custom","",IFERROR(XLOOKUP($B43&amp;"|"&amp;$D43,ShiftKnowledge!$A$2:$A$9,ShiftKnowledge!$F$2:$F$9,""),IFERROR(INDEX(ShiftKnowledge!$F$2:$F$9,MATCH($B43&amp;"|"&amp;$D43,ShiftKnowledge!$A$2:$A$9,0)),"")))</f>
        <v/>
      </c>
      <c r="J43" s="4">
        <f>IF($D43="Custom","",IFERROR(XLOOKUP($B43&amp;"|"&amp;$D43,ShiftKnowledge!$A$2:$A$9,ShiftKnowledge!$G$2:$G$9,""),IFERROR(INDEX(ShiftKnowledge!$G$2:$G$9,MATCH($B43&amp;"|"&amp;$D43,ShiftKnowledge!$A$2:$A$9,0)),"")))</f>
        <v/>
      </c>
      <c r="K43" s="4">
        <f>IF($D43="Custom","",IFERROR(XLOOKUP($B43&amp;"|"&amp;$D43,ShiftKnowledge!$A$2:$A$9,ShiftKnowledge!$H$2:$H$9,""),IFERROR(INDEX(ShiftKnowledge!$H$2:$H$9,MATCH($B43&amp;"|"&amp;$D43,ShiftKnowledge!$A$2:$A$9,0)),"")))</f>
        <v/>
      </c>
      <c r="L43" s="4">
        <f>IF($D43="Custom","",IFERROR(XLOOKUP($B43&amp;"|"&amp;$D43,ShiftKnowledge!$A$2:$A$9,ShiftKnowledge!$I$2:$I$9,""),IFERROR(INDEX(ShiftKnowledge!$I$2:$I$9,MATCH($B43&amp;"|"&amp;$D43,ShiftKnowledge!$A$2:$A$9,0)),"")))</f>
        <v/>
      </c>
      <c r="M43" s="4" t="inlineStr"/>
    </row>
    <row r="44" ht="20" customHeight="1">
      <c r="A44" s="6" t="inlineStr">
        <is>
          <t>08/11/2025</t>
        </is>
      </c>
      <c r="B44" s="6" t="inlineStr">
        <is>
          <t>Orthopaedics</t>
        </is>
      </c>
      <c r="C44" s="7" t="inlineStr">
        <is>
          <t>Dr. Vinod Ramlal</t>
        </is>
      </c>
      <c r="D44" s="6" t="inlineStr"/>
      <c r="E44" s="6">
        <f>IF($D44="Custom","",IFERROR(XLOOKUP($B44&amp;"|"&amp;$D44,ShiftKnowledge!$A$2:$A$9,ShiftKnowledge!$D$2:$D$9,""),IFERROR(INDEX(ShiftKnowledge!$D$2:$D$9,MATCH($B44&amp;"|"&amp;$D44,ShiftKnowledge!$A$2:$A$9,0)),"")))</f>
        <v/>
      </c>
      <c r="F44" s="6" t="inlineStr"/>
      <c r="G44" s="6">
        <f>IF(AND($I44="",$L44=""),"",IFERROR(VALUE($I44),0)+IFERROR(VALUE($L44),0))</f>
        <v/>
      </c>
      <c r="H44" s="6">
        <f>IF($D44="Custom","",IFERROR(XLOOKUP($B44&amp;"|"&amp;$D44,ShiftKnowledge!$A$2:$A$9,ShiftKnowledge!$E$2:$E$9,""),IFERROR(INDEX(ShiftKnowledge!$E$2:$E$9,MATCH($B44&amp;"|"&amp;$D44,ShiftKnowledge!$A$2:$A$9,0)),"")))</f>
        <v/>
      </c>
      <c r="I44" s="6">
        <f>IF($D44="Custom","",IFERROR(XLOOKUP($B44&amp;"|"&amp;$D44,ShiftKnowledge!$A$2:$A$9,ShiftKnowledge!$F$2:$F$9,""),IFERROR(INDEX(ShiftKnowledge!$F$2:$F$9,MATCH($B44&amp;"|"&amp;$D44,ShiftKnowledge!$A$2:$A$9,0)),"")))</f>
        <v/>
      </c>
      <c r="J44" s="6">
        <f>IF($D44="Custom","",IFERROR(XLOOKUP($B44&amp;"|"&amp;$D44,ShiftKnowledge!$A$2:$A$9,ShiftKnowledge!$G$2:$G$9,""),IFERROR(INDEX(ShiftKnowledge!$G$2:$G$9,MATCH($B44&amp;"|"&amp;$D44,ShiftKnowledge!$A$2:$A$9,0)),"")))</f>
        <v/>
      </c>
      <c r="K44" s="6">
        <f>IF($D44="Custom","",IFERROR(XLOOKUP($B44&amp;"|"&amp;$D44,ShiftKnowledge!$A$2:$A$9,ShiftKnowledge!$H$2:$H$9,""),IFERROR(INDEX(ShiftKnowledge!$H$2:$H$9,MATCH($B44&amp;"|"&amp;$D44,ShiftKnowledge!$A$2:$A$9,0)),"")))</f>
        <v/>
      </c>
      <c r="L44" s="6">
        <f>IF($D44="Custom","",IFERROR(XLOOKUP($B44&amp;"|"&amp;$D44,ShiftKnowledge!$A$2:$A$9,ShiftKnowledge!$I$2:$I$9,""),IFERROR(INDEX(ShiftKnowledge!$I$2:$I$9,MATCH($B44&amp;"|"&amp;$D44,ShiftKnowledge!$A$2:$A$9,0)),"")))</f>
        <v/>
      </c>
      <c r="M44" s="6" t="inlineStr"/>
    </row>
    <row r="45" ht="20" customHeight="1">
      <c r="A45" s="4" t="inlineStr">
        <is>
          <t>08/11/2025</t>
        </is>
      </c>
      <c r="B45" s="4" t="inlineStr">
        <is>
          <t>Paediatrics</t>
        </is>
      </c>
      <c r="C45" s="5" t="inlineStr">
        <is>
          <t>Dr. Yi Nwe Soe</t>
        </is>
      </c>
      <c r="D45" s="4" t="inlineStr"/>
      <c r="E45" s="4">
        <f>IF($D45="Custom","",IFERROR(XLOOKUP($B45&amp;"|"&amp;$D45,ShiftKnowledge!$A$2:$A$9,ShiftKnowledge!$D$2:$D$9,""),IFERROR(INDEX(ShiftKnowledge!$D$2:$D$9,MATCH($B45&amp;"|"&amp;$D45,ShiftKnowledge!$A$2:$A$9,0)),"")))</f>
        <v/>
      </c>
      <c r="F45" s="4" t="inlineStr"/>
      <c r="G45" s="4">
        <f>IF(AND($I45="",$L45=""),"",IFERROR(VALUE($I45),0)+IFERROR(VALUE($L45),0))</f>
        <v/>
      </c>
      <c r="H45" s="4">
        <f>IF($D45="Custom","",IFERROR(XLOOKUP($B45&amp;"|"&amp;$D45,ShiftKnowledge!$A$2:$A$9,ShiftKnowledge!$E$2:$E$9,""),IFERROR(INDEX(ShiftKnowledge!$E$2:$E$9,MATCH($B45&amp;"|"&amp;$D45,ShiftKnowledge!$A$2:$A$9,0)),"")))</f>
        <v/>
      </c>
      <c r="I45" s="4">
        <f>IF($D45="Custom","",IFERROR(XLOOKUP($B45&amp;"|"&amp;$D45,ShiftKnowledge!$A$2:$A$9,ShiftKnowledge!$F$2:$F$9,""),IFERROR(INDEX(ShiftKnowledge!$F$2:$F$9,MATCH($B45&amp;"|"&amp;$D45,ShiftKnowledge!$A$2:$A$9,0)),"")))</f>
        <v/>
      </c>
      <c r="J45" s="4">
        <f>IF($D45="Custom","",IFERROR(XLOOKUP($B45&amp;"|"&amp;$D45,ShiftKnowledge!$A$2:$A$9,ShiftKnowledge!$G$2:$G$9,""),IFERROR(INDEX(ShiftKnowledge!$G$2:$G$9,MATCH($B45&amp;"|"&amp;$D45,ShiftKnowledge!$A$2:$A$9,0)),"")))</f>
        <v/>
      </c>
      <c r="K45" s="4">
        <f>IF($D45="Custom","",IFERROR(XLOOKUP($B45&amp;"|"&amp;$D45,ShiftKnowledge!$A$2:$A$9,ShiftKnowledge!$H$2:$H$9,""),IFERROR(INDEX(ShiftKnowledge!$H$2:$H$9,MATCH($B45&amp;"|"&amp;$D45,ShiftKnowledge!$A$2:$A$9,0)),"")))</f>
        <v/>
      </c>
      <c r="L45" s="4">
        <f>IF($D45="Custom","",IFERROR(XLOOKUP($B45&amp;"|"&amp;$D45,ShiftKnowledge!$A$2:$A$9,ShiftKnowledge!$I$2:$I$9,""),IFERROR(INDEX(ShiftKnowledge!$I$2:$I$9,MATCH($B45&amp;"|"&amp;$D45,ShiftKnowledge!$A$2:$A$9,0)),"")))</f>
        <v/>
      </c>
      <c r="M45" s="4" t="inlineStr"/>
    </row>
    <row r="46" ht="20" customHeight="1">
      <c r="A46" s="6" t="inlineStr">
        <is>
          <t>08/11/2025</t>
        </is>
      </c>
      <c r="B46" s="6" t="inlineStr">
        <is>
          <t>Gynaecology</t>
        </is>
      </c>
      <c r="C46" s="7" t="inlineStr">
        <is>
          <t>Dr. Zarina Kabilova</t>
        </is>
      </c>
      <c r="D46" s="6" t="inlineStr"/>
      <c r="E46" s="6">
        <f>IF($D46="Custom","",IFERROR(XLOOKUP($B46&amp;"|"&amp;$D46,ShiftKnowledge!$A$2:$A$9,ShiftKnowledge!$D$2:$D$9,""),IFERROR(INDEX(ShiftKnowledge!$D$2:$D$9,MATCH($B46&amp;"|"&amp;$D46,ShiftKnowledge!$A$2:$A$9,0)),"")))</f>
        <v/>
      </c>
      <c r="F46" s="6" t="inlineStr"/>
      <c r="G46" s="6">
        <f>IF(AND($I46="",$L46=""),"",IFERROR(VALUE($I46),0)+IFERROR(VALUE($L46),0))</f>
        <v/>
      </c>
      <c r="H46" s="6">
        <f>IF($D46="Custom","",IFERROR(XLOOKUP($B46&amp;"|"&amp;$D46,ShiftKnowledge!$A$2:$A$9,ShiftKnowledge!$E$2:$E$9,""),IFERROR(INDEX(ShiftKnowledge!$E$2:$E$9,MATCH($B46&amp;"|"&amp;$D46,ShiftKnowledge!$A$2:$A$9,0)),"")))</f>
        <v/>
      </c>
      <c r="I46" s="6">
        <f>IF($D46="Custom","",IFERROR(XLOOKUP($B46&amp;"|"&amp;$D46,ShiftKnowledge!$A$2:$A$9,ShiftKnowledge!$F$2:$F$9,""),IFERROR(INDEX(ShiftKnowledge!$F$2:$F$9,MATCH($B46&amp;"|"&amp;$D46,ShiftKnowledge!$A$2:$A$9,0)),"")))</f>
        <v/>
      </c>
      <c r="J46" s="6">
        <f>IF($D46="Custom","",IFERROR(XLOOKUP($B46&amp;"|"&amp;$D46,ShiftKnowledge!$A$2:$A$9,ShiftKnowledge!$G$2:$G$9,""),IFERROR(INDEX(ShiftKnowledge!$G$2:$G$9,MATCH($B46&amp;"|"&amp;$D46,ShiftKnowledge!$A$2:$A$9,0)),"")))</f>
        <v/>
      </c>
      <c r="K46" s="6">
        <f>IF($D46="Custom","",IFERROR(XLOOKUP($B46&amp;"|"&amp;$D46,ShiftKnowledge!$A$2:$A$9,ShiftKnowledge!$H$2:$H$9,""),IFERROR(INDEX(ShiftKnowledge!$H$2:$H$9,MATCH($B46&amp;"|"&amp;$D46,ShiftKnowledge!$A$2:$A$9,0)),"")))</f>
        <v/>
      </c>
      <c r="L46" s="6">
        <f>IF($D46="Custom","",IFERROR(XLOOKUP($B46&amp;"|"&amp;$D46,ShiftKnowledge!$A$2:$A$9,ShiftKnowledge!$I$2:$I$9,""),IFERROR(INDEX(ShiftKnowledge!$I$2:$I$9,MATCH($B46&amp;"|"&amp;$D46,ShiftKnowledge!$A$2:$A$9,0)),"")))</f>
        <v/>
      </c>
      <c r="M46" s="6" t="inlineStr"/>
    </row>
    <row r="47" ht="20" customHeight="1">
      <c r="A47" s="4" t="inlineStr">
        <is>
          <t>09/11/2025</t>
        </is>
      </c>
      <c r="B47" s="4" t="inlineStr">
        <is>
          <t>Orthopaedics</t>
        </is>
      </c>
      <c r="C47" s="5" t="inlineStr">
        <is>
          <t>Dr. Ahmed Azim Abdul Shakoor</t>
        </is>
      </c>
      <c r="D47" s="4" t="inlineStr"/>
      <c r="E47" s="4">
        <f>IF($D47="Custom","",IFERROR(XLOOKUP($B47&amp;"|"&amp;$D47,ShiftKnowledge!$A$2:$A$9,ShiftKnowledge!$D$2:$D$9,""),IFERROR(INDEX(ShiftKnowledge!$D$2:$D$9,MATCH($B47&amp;"|"&amp;$D47,ShiftKnowledge!$A$2:$A$9,0)),"")))</f>
        <v/>
      </c>
      <c r="F47" s="4" t="inlineStr"/>
      <c r="G47" s="4">
        <f>IF(AND($I47="",$L47=""),"",IFERROR(VALUE($I47),0)+IFERROR(VALUE($L47),0))</f>
        <v/>
      </c>
      <c r="H47" s="4">
        <f>IF($D47="Custom","",IFERROR(XLOOKUP($B47&amp;"|"&amp;$D47,ShiftKnowledge!$A$2:$A$9,ShiftKnowledge!$E$2:$E$9,""),IFERROR(INDEX(ShiftKnowledge!$E$2:$E$9,MATCH($B47&amp;"|"&amp;$D47,ShiftKnowledge!$A$2:$A$9,0)),"")))</f>
        <v/>
      </c>
      <c r="I47" s="4">
        <f>IF($D47="Custom","",IFERROR(XLOOKUP($B47&amp;"|"&amp;$D47,ShiftKnowledge!$A$2:$A$9,ShiftKnowledge!$F$2:$F$9,""),IFERROR(INDEX(ShiftKnowledge!$F$2:$F$9,MATCH($B47&amp;"|"&amp;$D47,ShiftKnowledge!$A$2:$A$9,0)),"")))</f>
        <v/>
      </c>
      <c r="J47" s="4">
        <f>IF($D47="Custom","",IFERROR(XLOOKUP($B47&amp;"|"&amp;$D47,ShiftKnowledge!$A$2:$A$9,ShiftKnowledge!$G$2:$G$9,""),IFERROR(INDEX(ShiftKnowledge!$G$2:$G$9,MATCH($B47&amp;"|"&amp;$D47,ShiftKnowledge!$A$2:$A$9,0)),"")))</f>
        <v/>
      </c>
      <c r="K47" s="4">
        <f>IF($D47="Custom","",IFERROR(XLOOKUP($B47&amp;"|"&amp;$D47,ShiftKnowledge!$A$2:$A$9,ShiftKnowledge!$H$2:$H$9,""),IFERROR(INDEX(ShiftKnowledge!$H$2:$H$9,MATCH($B47&amp;"|"&amp;$D47,ShiftKnowledge!$A$2:$A$9,0)),"")))</f>
        <v/>
      </c>
      <c r="L47" s="4">
        <f>IF($D47="Custom","",IFERROR(XLOOKUP($B47&amp;"|"&amp;$D47,ShiftKnowledge!$A$2:$A$9,ShiftKnowledge!$I$2:$I$9,""),IFERROR(INDEX(ShiftKnowledge!$I$2:$I$9,MATCH($B47&amp;"|"&amp;$D47,ShiftKnowledge!$A$2:$A$9,0)),"")))</f>
        <v/>
      </c>
      <c r="M47" s="4" t="inlineStr"/>
    </row>
    <row r="48" ht="20" customHeight="1">
      <c r="A48" s="6" t="inlineStr">
        <is>
          <t>09/11/2025</t>
        </is>
      </c>
      <c r="B48" s="6" t="inlineStr">
        <is>
          <t>Dermatology</t>
        </is>
      </c>
      <c r="C48" s="7" t="inlineStr">
        <is>
          <t>Dr. Ahmed Fekry Bahyeldin Khalafallah</t>
        </is>
      </c>
      <c r="D48" s="6" t="inlineStr"/>
      <c r="E48" s="6">
        <f>IF($D48="Custom","",IFERROR(XLOOKUP($B48&amp;"|"&amp;$D48,ShiftKnowledge!$A$2:$A$9,ShiftKnowledge!$D$2:$D$9,""),IFERROR(INDEX(ShiftKnowledge!$D$2:$D$9,MATCH($B48&amp;"|"&amp;$D48,ShiftKnowledge!$A$2:$A$9,0)),"")))</f>
        <v/>
      </c>
      <c r="F48" s="6" t="inlineStr"/>
      <c r="G48" s="6">
        <f>IF(AND($I48="",$L48=""),"",IFERROR(VALUE($I48),0)+IFERROR(VALUE($L48),0))</f>
        <v/>
      </c>
      <c r="H48" s="6">
        <f>IF($D48="Custom","",IFERROR(XLOOKUP($B48&amp;"|"&amp;$D48,ShiftKnowledge!$A$2:$A$9,ShiftKnowledge!$E$2:$E$9,""),IFERROR(INDEX(ShiftKnowledge!$E$2:$E$9,MATCH($B48&amp;"|"&amp;$D48,ShiftKnowledge!$A$2:$A$9,0)),"")))</f>
        <v/>
      </c>
      <c r="I48" s="6">
        <f>IF($D48="Custom","",IFERROR(XLOOKUP($B48&amp;"|"&amp;$D48,ShiftKnowledge!$A$2:$A$9,ShiftKnowledge!$F$2:$F$9,""),IFERROR(INDEX(ShiftKnowledge!$F$2:$F$9,MATCH($B48&amp;"|"&amp;$D48,ShiftKnowledge!$A$2:$A$9,0)),"")))</f>
        <v/>
      </c>
      <c r="J48" s="6">
        <f>IF($D48="Custom","",IFERROR(XLOOKUP($B48&amp;"|"&amp;$D48,ShiftKnowledge!$A$2:$A$9,ShiftKnowledge!$G$2:$G$9,""),IFERROR(INDEX(ShiftKnowledge!$G$2:$G$9,MATCH($B48&amp;"|"&amp;$D48,ShiftKnowledge!$A$2:$A$9,0)),"")))</f>
        <v/>
      </c>
      <c r="K48" s="6">
        <f>IF($D48="Custom","",IFERROR(XLOOKUP($B48&amp;"|"&amp;$D48,ShiftKnowledge!$A$2:$A$9,ShiftKnowledge!$H$2:$H$9,""),IFERROR(INDEX(ShiftKnowledge!$H$2:$H$9,MATCH($B48&amp;"|"&amp;$D48,ShiftKnowledge!$A$2:$A$9,0)),"")))</f>
        <v/>
      </c>
      <c r="L48" s="6">
        <f>IF($D48="Custom","",IFERROR(XLOOKUP($B48&amp;"|"&amp;$D48,ShiftKnowledge!$A$2:$A$9,ShiftKnowledge!$I$2:$I$9,""),IFERROR(INDEX(ShiftKnowledge!$I$2:$I$9,MATCH($B48&amp;"|"&amp;$D48,ShiftKnowledge!$A$2:$A$9,0)),"")))</f>
        <v/>
      </c>
      <c r="M48" s="6" t="inlineStr"/>
    </row>
    <row r="49" ht="20" customHeight="1">
      <c r="A49" s="4" t="inlineStr">
        <is>
          <t>09/11/2025</t>
        </is>
      </c>
      <c r="B49" s="4" t="inlineStr">
        <is>
          <t>Pulmonology</t>
        </is>
      </c>
      <c r="C49" s="5" t="inlineStr">
        <is>
          <t>Dr. Ahmed Gamal Youssef Meselhi</t>
        </is>
      </c>
      <c r="D49" s="4" t="inlineStr"/>
      <c r="E49" s="4">
        <f>IF($D49="Custom","",IFERROR(XLOOKUP($B49&amp;"|"&amp;$D49,ShiftKnowledge!$A$2:$A$9,ShiftKnowledge!$D$2:$D$9,""),IFERROR(INDEX(ShiftKnowledge!$D$2:$D$9,MATCH($B49&amp;"|"&amp;$D49,ShiftKnowledge!$A$2:$A$9,0)),"")))</f>
        <v/>
      </c>
      <c r="F49" s="4" t="inlineStr"/>
      <c r="G49" s="4">
        <f>IF(AND($I49="",$L49=""),"",IFERROR(VALUE($I49),0)+IFERROR(VALUE($L49),0))</f>
        <v/>
      </c>
      <c r="H49" s="4">
        <f>IF($D49="Custom","",IFERROR(XLOOKUP($B49&amp;"|"&amp;$D49,ShiftKnowledge!$A$2:$A$9,ShiftKnowledge!$E$2:$E$9,""),IFERROR(INDEX(ShiftKnowledge!$E$2:$E$9,MATCH($B49&amp;"|"&amp;$D49,ShiftKnowledge!$A$2:$A$9,0)),"")))</f>
        <v/>
      </c>
      <c r="I49" s="4">
        <f>IF($D49="Custom","",IFERROR(XLOOKUP($B49&amp;"|"&amp;$D49,ShiftKnowledge!$A$2:$A$9,ShiftKnowledge!$F$2:$F$9,""),IFERROR(INDEX(ShiftKnowledge!$F$2:$F$9,MATCH($B49&amp;"|"&amp;$D49,ShiftKnowledge!$A$2:$A$9,0)),"")))</f>
        <v/>
      </c>
      <c r="J49" s="4">
        <f>IF($D49="Custom","",IFERROR(XLOOKUP($B49&amp;"|"&amp;$D49,ShiftKnowledge!$A$2:$A$9,ShiftKnowledge!$G$2:$G$9,""),IFERROR(INDEX(ShiftKnowledge!$G$2:$G$9,MATCH($B49&amp;"|"&amp;$D49,ShiftKnowledge!$A$2:$A$9,0)),"")))</f>
        <v/>
      </c>
      <c r="K49" s="4">
        <f>IF($D49="Custom","",IFERROR(XLOOKUP($B49&amp;"|"&amp;$D49,ShiftKnowledge!$A$2:$A$9,ShiftKnowledge!$H$2:$H$9,""),IFERROR(INDEX(ShiftKnowledge!$H$2:$H$9,MATCH($B49&amp;"|"&amp;$D49,ShiftKnowledge!$A$2:$A$9,0)),"")))</f>
        <v/>
      </c>
      <c r="L49" s="4">
        <f>IF($D49="Custom","",IFERROR(XLOOKUP($B49&amp;"|"&amp;$D49,ShiftKnowledge!$A$2:$A$9,ShiftKnowledge!$I$2:$I$9,""),IFERROR(INDEX(ShiftKnowledge!$I$2:$I$9,MATCH($B49&amp;"|"&amp;$D49,ShiftKnowledge!$A$2:$A$9,0)),"")))</f>
        <v/>
      </c>
      <c r="M49" s="4" t="inlineStr"/>
    </row>
    <row r="50" ht="20" customHeight="1">
      <c r="A50" s="6" t="inlineStr">
        <is>
          <t>09/11/2025</t>
        </is>
      </c>
      <c r="B50" s="6" t="inlineStr">
        <is>
          <t>Dental</t>
        </is>
      </c>
      <c r="C50" s="7" t="inlineStr">
        <is>
          <t>Dr. Aishath Suha Ali</t>
        </is>
      </c>
      <c r="D50" s="6" t="inlineStr"/>
      <c r="E50" s="6">
        <f>IF($D50="Custom","",IFERROR(XLOOKUP($B50&amp;"|"&amp;$D50,ShiftKnowledge!$A$2:$A$9,ShiftKnowledge!$D$2:$D$9,""),IFERROR(INDEX(ShiftKnowledge!$D$2:$D$9,MATCH($B50&amp;"|"&amp;$D50,ShiftKnowledge!$A$2:$A$9,0)),"")))</f>
        <v/>
      </c>
      <c r="F50" s="6" t="inlineStr"/>
      <c r="G50" s="6">
        <f>IF(AND($I50="",$L50=""),"",IFERROR(VALUE($I50),0)+IFERROR(VALUE($L50),0))</f>
        <v/>
      </c>
      <c r="H50" s="6">
        <f>IF($D50="Custom","",IFERROR(XLOOKUP($B50&amp;"|"&amp;$D50,ShiftKnowledge!$A$2:$A$9,ShiftKnowledge!$E$2:$E$9,""),IFERROR(INDEX(ShiftKnowledge!$E$2:$E$9,MATCH($B50&amp;"|"&amp;$D50,ShiftKnowledge!$A$2:$A$9,0)),"")))</f>
        <v/>
      </c>
      <c r="I50" s="6">
        <f>IF($D50="Custom","",IFERROR(XLOOKUP($B50&amp;"|"&amp;$D50,ShiftKnowledge!$A$2:$A$9,ShiftKnowledge!$F$2:$F$9,""),IFERROR(INDEX(ShiftKnowledge!$F$2:$F$9,MATCH($B50&amp;"|"&amp;$D50,ShiftKnowledge!$A$2:$A$9,0)),"")))</f>
        <v/>
      </c>
      <c r="J50" s="6">
        <f>IF($D50="Custom","",IFERROR(XLOOKUP($B50&amp;"|"&amp;$D50,ShiftKnowledge!$A$2:$A$9,ShiftKnowledge!$G$2:$G$9,""),IFERROR(INDEX(ShiftKnowledge!$G$2:$G$9,MATCH($B50&amp;"|"&amp;$D50,ShiftKnowledge!$A$2:$A$9,0)),"")))</f>
        <v/>
      </c>
      <c r="K50" s="6">
        <f>IF($D50="Custom","",IFERROR(XLOOKUP($B50&amp;"|"&amp;$D50,ShiftKnowledge!$A$2:$A$9,ShiftKnowledge!$H$2:$H$9,""),IFERROR(INDEX(ShiftKnowledge!$H$2:$H$9,MATCH($B50&amp;"|"&amp;$D50,ShiftKnowledge!$A$2:$A$9,0)),"")))</f>
        <v/>
      </c>
      <c r="L50" s="6">
        <f>IF($D50="Custom","",IFERROR(XLOOKUP($B50&amp;"|"&amp;$D50,ShiftKnowledge!$A$2:$A$9,ShiftKnowledge!$I$2:$I$9,""),IFERROR(INDEX(ShiftKnowledge!$I$2:$I$9,MATCH($B50&amp;"|"&amp;$D50,ShiftKnowledge!$A$2:$A$9,0)),"")))</f>
        <v/>
      </c>
      <c r="M50" s="6" t="inlineStr"/>
    </row>
    <row r="51" ht="20" customHeight="1">
      <c r="A51" s="4" t="inlineStr">
        <is>
          <t>09/11/2025</t>
        </is>
      </c>
      <c r="B51" s="4" t="inlineStr">
        <is>
          <t>Paediatrics</t>
        </is>
      </c>
      <c r="C51" s="5" t="inlineStr">
        <is>
          <t>Dr. Alaa Adel Ahmed Sayed Ahmed Sobeih Elamawey</t>
        </is>
      </c>
      <c r="D51" s="4" t="inlineStr"/>
      <c r="E51" s="4">
        <f>IF($D51="Custom","",IFERROR(XLOOKUP($B51&amp;"|"&amp;$D51,ShiftKnowledge!$A$2:$A$9,ShiftKnowledge!$D$2:$D$9,""),IFERROR(INDEX(ShiftKnowledge!$D$2:$D$9,MATCH($B51&amp;"|"&amp;$D51,ShiftKnowledge!$A$2:$A$9,0)),"")))</f>
        <v/>
      </c>
      <c r="F51" s="4" t="inlineStr"/>
      <c r="G51" s="4">
        <f>IF(AND($I51="",$L51=""),"",IFERROR(VALUE($I51),0)+IFERROR(VALUE($L51),0))</f>
        <v/>
      </c>
      <c r="H51" s="4">
        <f>IF($D51="Custom","",IFERROR(XLOOKUP($B51&amp;"|"&amp;$D51,ShiftKnowledge!$A$2:$A$9,ShiftKnowledge!$E$2:$E$9,""),IFERROR(INDEX(ShiftKnowledge!$E$2:$E$9,MATCH($B51&amp;"|"&amp;$D51,ShiftKnowledge!$A$2:$A$9,0)),"")))</f>
        <v/>
      </c>
      <c r="I51" s="4">
        <f>IF($D51="Custom","",IFERROR(XLOOKUP($B51&amp;"|"&amp;$D51,ShiftKnowledge!$A$2:$A$9,ShiftKnowledge!$F$2:$F$9,""),IFERROR(INDEX(ShiftKnowledge!$F$2:$F$9,MATCH($B51&amp;"|"&amp;$D51,ShiftKnowledge!$A$2:$A$9,0)),"")))</f>
        <v/>
      </c>
      <c r="J51" s="4">
        <f>IF($D51="Custom","",IFERROR(XLOOKUP($B51&amp;"|"&amp;$D51,ShiftKnowledge!$A$2:$A$9,ShiftKnowledge!$G$2:$G$9,""),IFERROR(INDEX(ShiftKnowledge!$G$2:$G$9,MATCH($B51&amp;"|"&amp;$D51,ShiftKnowledge!$A$2:$A$9,0)),"")))</f>
        <v/>
      </c>
      <c r="K51" s="4">
        <f>IF($D51="Custom","",IFERROR(XLOOKUP($B51&amp;"|"&amp;$D51,ShiftKnowledge!$A$2:$A$9,ShiftKnowledge!$H$2:$H$9,""),IFERROR(INDEX(ShiftKnowledge!$H$2:$H$9,MATCH($B51&amp;"|"&amp;$D51,ShiftKnowledge!$A$2:$A$9,0)),"")))</f>
        <v/>
      </c>
      <c r="L51" s="4">
        <f>IF($D51="Custom","",IFERROR(XLOOKUP($B51&amp;"|"&amp;$D51,ShiftKnowledge!$A$2:$A$9,ShiftKnowledge!$I$2:$I$9,""),IFERROR(INDEX(ShiftKnowledge!$I$2:$I$9,MATCH($B51&amp;"|"&amp;$D51,ShiftKnowledge!$A$2:$A$9,0)),"")))</f>
        <v/>
      </c>
      <c r="M51" s="4" t="inlineStr"/>
    </row>
    <row r="52" ht="20" customHeight="1">
      <c r="A52" s="6" t="inlineStr">
        <is>
          <t>09/11/2025</t>
        </is>
      </c>
      <c r="B52" s="6" t="inlineStr">
        <is>
          <t>Paediatrics</t>
        </is>
      </c>
      <c r="C52" s="7" t="inlineStr">
        <is>
          <t>Dr. Alisha Joshi</t>
        </is>
      </c>
      <c r="D52" s="6" t="inlineStr"/>
      <c r="E52" s="6">
        <f>IF($D52="Custom","",IFERROR(XLOOKUP($B52&amp;"|"&amp;$D52,ShiftKnowledge!$A$2:$A$9,ShiftKnowledge!$D$2:$D$9,""),IFERROR(INDEX(ShiftKnowledge!$D$2:$D$9,MATCH($B52&amp;"|"&amp;$D52,ShiftKnowledge!$A$2:$A$9,0)),"")))</f>
        <v/>
      </c>
      <c r="F52" s="6" t="inlineStr"/>
      <c r="G52" s="6">
        <f>IF(AND($I52="",$L52=""),"",IFERROR(VALUE($I52),0)+IFERROR(VALUE($L52),0))</f>
        <v/>
      </c>
      <c r="H52" s="6">
        <f>IF($D52="Custom","",IFERROR(XLOOKUP($B52&amp;"|"&amp;$D52,ShiftKnowledge!$A$2:$A$9,ShiftKnowledge!$E$2:$E$9,""),IFERROR(INDEX(ShiftKnowledge!$E$2:$E$9,MATCH($B52&amp;"|"&amp;$D52,ShiftKnowledge!$A$2:$A$9,0)),"")))</f>
        <v/>
      </c>
      <c r="I52" s="6">
        <f>IF($D52="Custom","",IFERROR(XLOOKUP($B52&amp;"|"&amp;$D52,ShiftKnowledge!$A$2:$A$9,ShiftKnowledge!$F$2:$F$9,""),IFERROR(INDEX(ShiftKnowledge!$F$2:$F$9,MATCH($B52&amp;"|"&amp;$D52,ShiftKnowledge!$A$2:$A$9,0)),"")))</f>
        <v/>
      </c>
      <c r="J52" s="6">
        <f>IF($D52="Custom","",IFERROR(XLOOKUP($B52&amp;"|"&amp;$D52,ShiftKnowledge!$A$2:$A$9,ShiftKnowledge!$G$2:$G$9,""),IFERROR(INDEX(ShiftKnowledge!$G$2:$G$9,MATCH($B52&amp;"|"&amp;$D52,ShiftKnowledge!$A$2:$A$9,0)),"")))</f>
        <v/>
      </c>
      <c r="K52" s="6">
        <f>IF($D52="Custom","",IFERROR(XLOOKUP($B52&amp;"|"&amp;$D52,ShiftKnowledge!$A$2:$A$9,ShiftKnowledge!$H$2:$H$9,""),IFERROR(INDEX(ShiftKnowledge!$H$2:$H$9,MATCH($B52&amp;"|"&amp;$D52,ShiftKnowledge!$A$2:$A$9,0)),"")))</f>
        <v/>
      </c>
      <c r="L52" s="6">
        <f>IF($D52="Custom","",IFERROR(XLOOKUP($B52&amp;"|"&amp;$D52,ShiftKnowledge!$A$2:$A$9,ShiftKnowledge!$I$2:$I$9,""),IFERROR(INDEX(ShiftKnowledge!$I$2:$I$9,MATCH($B52&amp;"|"&amp;$D52,ShiftKnowledge!$A$2:$A$9,0)),"")))</f>
        <v/>
      </c>
      <c r="M52" s="6" t="inlineStr"/>
    </row>
    <row r="53" ht="20" customHeight="1">
      <c r="A53" s="4" t="inlineStr">
        <is>
          <t>09/11/2025</t>
        </is>
      </c>
      <c r="B53" s="4" t="inlineStr">
        <is>
          <t>Dental</t>
        </is>
      </c>
      <c r="C53" s="5" t="inlineStr">
        <is>
          <t>Dr. Aminath Dhunyana</t>
        </is>
      </c>
      <c r="D53" s="4" t="inlineStr"/>
      <c r="E53" s="4">
        <f>IF($D53="Custom","",IFERROR(XLOOKUP($B53&amp;"|"&amp;$D53,ShiftKnowledge!$A$2:$A$9,ShiftKnowledge!$D$2:$D$9,""),IFERROR(INDEX(ShiftKnowledge!$D$2:$D$9,MATCH($B53&amp;"|"&amp;$D53,ShiftKnowledge!$A$2:$A$9,0)),"")))</f>
        <v/>
      </c>
      <c r="F53" s="4" t="inlineStr"/>
      <c r="G53" s="4">
        <f>IF(AND($I53="",$L53=""),"",IFERROR(VALUE($I53),0)+IFERROR(VALUE($L53),0))</f>
        <v/>
      </c>
      <c r="H53" s="4">
        <f>IF($D53="Custom","",IFERROR(XLOOKUP($B53&amp;"|"&amp;$D53,ShiftKnowledge!$A$2:$A$9,ShiftKnowledge!$E$2:$E$9,""),IFERROR(INDEX(ShiftKnowledge!$E$2:$E$9,MATCH($B53&amp;"|"&amp;$D53,ShiftKnowledge!$A$2:$A$9,0)),"")))</f>
        <v/>
      </c>
      <c r="I53" s="4">
        <f>IF($D53="Custom","",IFERROR(XLOOKUP($B53&amp;"|"&amp;$D53,ShiftKnowledge!$A$2:$A$9,ShiftKnowledge!$F$2:$F$9,""),IFERROR(INDEX(ShiftKnowledge!$F$2:$F$9,MATCH($B53&amp;"|"&amp;$D53,ShiftKnowledge!$A$2:$A$9,0)),"")))</f>
        <v/>
      </c>
      <c r="J53" s="4">
        <f>IF($D53="Custom","",IFERROR(XLOOKUP($B53&amp;"|"&amp;$D53,ShiftKnowledge!$A$2:$A$9,ShiftKnowledge!$G$2:$G$9,""),IFERROR(INDEX(ShiftKnowledge!$G$2:$G$9,MATCH($B53&amp;"|"&amp;$D53,ShiftKnowledge!$A$2:$A$9,0)),"")))</f>
        <v/>
      </c>
      <c r="K53" s="4">
        <f>IF($D53="Custom","",IFERROR(XLOOKUP($B53&amp;"|"&amp;$D53,ShiftKnowledge!$A$2:$A$9,ShiftKnowledge!$H$2:$H$9,""),IFERROR(INDEX(ShiftKnowledge!$H$2:$H$9,MATCH($B53&amp;"|"&amp;$D53,ShiftKnowledge!$A$2:$A$9,0)),"")))</f>
        <v/>
      </c>
      <c r="L53" s="4">
        <f>IF($D53="Custom","",IFERROR(XLOOKUP($B53&amp;"|"&amp;$D53,ShiftKnowledge!$A$2:$A$9,ShiftKnowledge!$I$2:$I$9,""),IFERROR(INDEX(ShiftKnowledge!$I$2:$I$9,MATCH($B53&amp;"|"&amp;$D53,ShiftKnowledge!$A$2:$A$9,0)),"")))</f>
        <v/>
      </c>
      <c r="M53" s="4" t="inlineStr"/>
    </row>
    <row r="54" ht="20" customHeight="1">
      <c r="A54" s="6" t="inlineStr">
        <is>
          <t>09/11/2025</t>
        </is>
      </c>
      <c r="B54" s="6" t="inlineStr">
        <is>
          <t>Gynaecology</t>
        </is>
      </c>
      <c r="C54" s="7" t="inlineStr">
        <is>
          <t>Dr. Aminath Juhaina</t>
        </is>
      </c>
      <c r="D54" s="6" t="inlineStr"/>
      <c r="E54" s="6">
        <f>IF($D54="Custom","",IFERROR(XLOOKUP($B54&amp;"|"&amp;$D54,ShiftKnowledge!$A$2:$A$9,ShiftKnowledge!$D$2:$D$9,""),IFERROR(INDEX(ShiftKnowledge!$D$2:$D$9,MATCH($B54&amp;"|"&amp;$D54,ShiftKnowledge!$A$2:$A$9,0)),"")))</f>
        <v/>
      </c>
      <c r="F54" s="6" t="inlineStr"/>
      <c r="G54" s="6">
        <f>IF(AND($I54="",$L54=""),"",IFERROR(VALUE($I54),0)+IFERROR(VALUE($L54),0))</f>
        <v/>
      </c>
      <c r="H54" s="6">
        <f>IF($D54="Custom","",IFERROR(XLOOKUP($B54&amp;"|"&amp;$D54,ShiftKnowledge!$A$2:$A$9,ShiftKnowledge!$E$2:$E$9,""),IFERROR(INDEX(ShiftKnowledge!$E$2:$E$9,MATCH($B54&amp;"|"&amp;$D54,ShiftKnowledge!$A$2:$A$9,0)),"")))</f>
        <v/>
      </c>
      <c r="I54" s="6">
        <f>IF($D54="Custom","",IFERROR(XLOOKUP($B54&amp;"|"&amp;$D54,ShiftKnowledge!$A$2:$A$9,ShiftKnowledge!$F$2:$F$9,""),IFERROR(INDEX(ShiftKnowledge!$F$2:$F$9,MATCH($B54&amp;"|"&amp;$D54,ShiftKnowledge!$A$2:$A$9,0)),"")))</f>
        <v/>
      </c>
      <c r="J54" s="6">
        <f>IF($D54="Custom","",IFERROR(XLOOKUP($B54&amp;"|"&amp;$D54,ShiftKnowledge!$A$2:$A$9,ShiftKnowledge!$G$2:$G$9,""),IFERROR(INDEX(ShiftKnowledge!$G$2:$G$9,MATCH($B54&amp;"|"&amp;$D54,ShiftKnowledge!$A$2:$A$9,0)),"")))</f>
        <v/>
      </c>
      <c r="K54" s="6">
        <f>IF($D54="Custom","",IFERROR(XLOOKUP($B54&amp;"|"&amp;$D54,ShiftKnowledge!$A$2:$A$9,ShiftKnowledge!$H$2:$H$9,""),IFERROR(INDEX(ShiftKnowledge!$H$2:$H$9,MATCH($B54&amp;"|"&amp;$D54,ShiftKnowledge!$A$2:$A$9,0)),"")))</f>
        <v/>
      </c>
      <c r="L54" s="6">
        <f>IF($D54="Custom","",IFERROR(XLOOKUP($B54&amp;"|"&amp;$D54,ShiftKnowledge!$A$2:$A$9,ShiftKnowledge!$I$2:$I$9,""),IFERROR(INDEX(ShiftKnowledge!$I$2:$I$9,MATCH($B54&amp;"|"&amp;$D54,ShiftKnowledge!$A$2:$A$9,0)),"")))</f>
        <v/>
      </c>
      <c r="M54" s="6" t="inlineStr"/>
    </row>
    <row r="55" ht="20" customHeight="1">
      <c r="A55" s="4" t="inlineStr">
        <is>
          <t>09/11/2025</t>
        </is>
      </c>
      <c r="B55" s="4" t="inlineStr">
        <is>
          <t>Dental</t>
        </is>
      </c>
      <c r="C55" s="5" t="inlineStr">
        <is>
          <t>Dr. Aminath Khazna Musthafa</t>
        </is>
      </c>
      <c r="D55" s="4" t="inlineStr"/>
      <c r="E55" s="4">
        <f>IF($D55="Custom","",IFERROR(XLOOKUP($B55&amp;"|"&amp;$D55,ShiftKnowledge!$A$2:$A$9,ShiftKnowledge!$D$2:$D$9,""),IFERROR(INDEX(ShiftKnowledge!$D$2:$D$9,MATCH($B55&amp;"|"&amp;$D55,ShiftKnowledge!$A$2:$A$9,0)),"")))</f>
        <v/>
      </c>
      <c r="F55" s="4" t="inlineStr"/>
      <c r="G55" s="4">
        <f>IF(AND($I55="",$L55=""),"",IFERROR(VALUE($I55),0)+IFERROR(VALUE($L55),0))</f>
        <v/>
      </c>
      <c r="H55" s="4">
        <f>IF($D55="Custom","",IFERROR(XLOOKUP($B55&amp;"|"&amp;$D55,ShiftKnowledge!$A$2:$A$9,ShiftKnowledge!$E$2:$E$9,""),IFERROR(INDEX(ShiftKnowledge!$E$2:$E$9,MATCH($B55&amp;"|"&amp;$D55,ShiftKnowledge!$A$2:$A$9,0)),"")))</f>
        <v/>
      </c>
      <c r="I55" s="4">
        <f>IF($D55="Custom","",IFERROR(XLOOKUP($B55&amp;"|"&amp;$D55,ShiftKnowledge!$A$2:$A$9,ShiftKnowledge!$F$2:$F$9,""),IFERROR(INDEX(ShiftKnowledge!$F$2:$F$9,MATCH($B55&amp;"|"&amp;$D55,ShiftKnowledge!$A$2:$A$9,0)),"")))</f>
        <v/>
      </c>
      <c r="J55" s="4">
        <f>IF($D55="Custom","",IFERROR(XLOOKUP($B55&amp;"|"&amp;$D55,ShiftKnowledge!$A$2:$A$9,ShiftKnowledge!$G$2:$G$9,""),IFERROR(INDEX(ShiftKnowledge!$G$2:$G$9,MATCH($B55&amp;"|"&amp;$D55,ShiftKnowledge!$A$2:$A$9,0)),"")))</f>
        <v/>
      </c>
      <c r="K55" s="4">
        <f>IF($D55="Custom","",IFERROR(XLOOKUP($B55&amp;"|"&amp;$D55,ShiftKnowledge!$A$2:$A$9,ShiftKnowledge!$H$2:$H$9,""),IFERROR(INDEX(ShiftKnowledge!$H$2:$H$9,MATCH($B55&amp;"|"&amp;$D55,ShiftKnowledge!$A$2:$A$9,0)),"")))</f>
        <v/>
      </c>
      <c r="L55" s="4">
        <f>IF($D55="Custom","",IFERROR(XLOOKUP($B55&amp;"|"&amp;$D55,ShiftKnowledge!$A$2:$A$9,ShiftKnowledge!$I$2:$I$9,""),IFERROR(INDEX(ShiftKnowledge!$I$2:$I$9,MATCH($B55&amp;"|"&amp;$D55,ShiftKnowledge!$A$2:$A$9,0)),"")))</f>
        <v/>
      </c>
      <c r="M55" s="4" t="inlineStr"/>
    </row>
    <row r="56" ht="20" customHeight="1">
      <c r="A56" s="6" t="inlineStr">
        <is>
          <t>09/11/2025</t>
        </is>
      </c>
      <c r="B56" s="6" t="inlineStr">
        <is>
          <t>Internal Medicine</t>
        </is>
      </c>
      <c r="C56" s="7" t="inlineStr">
        <is>
          <t>Dr. Aminath Munaza</t>
        </is>
      </c>
      <c r="D56" s="6" t="inlineStr"/>
      <c r="E56" s="6">
        <f>IF($D56="Custom","",IFERROR(XLOOKUP($B56&amp;"|"&amp;$D56,ShiftKnowledge!$A$2:$A$9,ShiftKnowledge!$D$2:$D$9,""),IFERROR(INDEX(ShiftKnowledge!$D$2:$D$9,MATCH($B56&amp;"|"&amp;$D56,ShiftKnowledge!$A$2:$A$9,0)),"")))</f>
        <v/>
      </c>
      <c r="F56" s="6" t="inlineStr"/>
      <c r="G56" s="6">
        <f>IF(AND($I56="",$L56=""),"",IFERROR(VALUE($I56),0)+IFERROR(VALUE($L56),0))</f>
        <v/>
      </c>
      <c r="H56" s="6">
        <f>IF($D56="Custom","",IFERROR(XLOOKUP($B56&amp;"|"&amp;$D56,ShiftKnowledge!$A$2:$A$9,ShiftKnowledge!$E$2:$E$9,""),IFERROR(INDEX(ShiftKnowledge!$E$2:$E$9,MATCH($B56&amp;"|"&amp;$D56,ShiftKnowledge!$A$2:$A$9,0)),"")))</f>
        <v/>
      </c>
      <c r="I56" s="6">
        <f>IF($D56="Custom","",IFERROR(XLOOKUP($B56&amp;"|"&amp;$D56,ShiftKnowledge!$A$2:$A$9,ShiftKnowledge!$F$2:$F$9,""),IFERROR(INDEX(ShiftKnowledge!$F$2:$F$9,MATCH($B56&amp;"|"&amp;$D56,ShiftKnowledge!$A$2:$A$9,0)),"")))</f>
        <v/>
      </c>
      <c r="J56" s="6">
        <f>IF($D56="Custom","",IFERROR(XLOOKUP($B56&amp;"|"&amp;$D56,ShiftKnowledge!$A$2:$A$9,ShiftKnowledge!$G$2:$G$9,""),IFERROR(INDEX(ShiftKnowledge!$G$2:$G$9,MATCH($B56&amp;"|"&amp;$D56,ShiftKnowledge!$A$2:$A$9,0)),"")))</f>
        <v/>
      </c>
      <c r="K56" s="6">
        <f>IF($D56="Custom","",IFERROR(XLOOKUP($B56&amp;"|"&amp;$D56,ShiftKnowledge!$A$2:$A$9,ShiftKnowledge!$H$2:$H$9,""),IFERROR(INDEX(ShiftKnowledge!$H$2:$H$9,MATCH($B56&amp;"|"&amp;$D56,ShiftKnowledge!$A$2:$A$9,0)),"")))</f>
        <v/>
      </c>
      <c r="L56" s="6">
        <f>IF($D56="Custom","",IFERROR(XLOOKUP($B56&amp;"|"&amp;$D56,ShiftKnowledge!$A$2:$A$9,ShiftKnowledge!$I$2:$I$9,""),IFERROR(INDEX(ShiftKnowledge!$I$2:$I$9,MATCH($B56&amp;"|"&amp;$D56,ShiftKnowledge!$A$2:$A$9,0)),"")))</f>
        <v/>
      </c>
      <c r="M56" s="6" t="inlineStr"/>
    </row>
    <row r="57" ht="20" customHeight="1">
      <c r="A57" s="4" t="inlineStr">
        <is>
          <t>09/11/2025</t>
        </is>
      </c>
      <c r="B57" s="4" t="inlineStr">
        <is>
          <t>Psychiatry</t>
        </is>
      </c>
      <c r="C57" s="5" t="inlineStr">
        <is>
          <t>Dr. Anas Mohamed Anwar Ahmed Ali</t>
        </is>
      </c>
      <c r="D57" s="4" t="inlineStr"/>
      <c r="E57" s="4">
        <f>IF($D57="Custom","",IFERROR(XLOOKUP($B57&amp;"|"&amp;$D57,ShiftKnowledge!$A$2:$A$9,ShiftKnowledge!$D$2:$D$9,""),IFERROR(INDEX(ShiftKnowledge!$D$2:$D$9,MATCH($B57&amp;"|"&amp;$D57,ShiftKnowledge!$A$2:$A$9,0)),"")))</f>
        <v/>
      </c>
      <c r="F57" s="4" t="inlineStr"/>
      <c r="G57" s="4">
        <f>IF(AND($I57="",$L57=""),"",IFERROR(VALUE($I57),0)+IFERROR(VALUE($L57),0))</f>
        <v/>
      </c>
      <c r="H57" s="4">
        <f>IF($D57="Custom","",IFERROR(XLOOKUP($B57&amp;"|"&amp;$D57,ShiftKnowledge!$A$2:$A$9,ShiftKnowledge!$E$2:$E$9,""),IFERROR(INDEX(ShiftKnowledge!$E$2:$E$9,MATCH($B57&amp;"|"&amp;$D57,ShiftKnowledge!$A$2:$A$9,0)),"")))</f>
        <v/>
      </c>
      <c r="I57" s="4">
        <f>IF($D57="Custom","",IFERROR(XLOOKUP($B57&amp;"|"&amp;$D57,ShiftKnowledge!$A$2:$A$9,ShiftKnowledge!$F$2:$F$9,""),IFERROR(INDEX(ShiftKnowledge!$F$2:$F$9,MATCH($B57&amp;"|"&amp;$D57,ShiftKnowledge!$A$2:$A$9,0)),"")))</f>
        <v/>
      </c>
      <c r="J57" s="4">
        <f>IF($D57="Custom","",IFERROR(XLOOKUP($B57&amp;"|"&amp;$D57,ShiftKnowledge!$A$2:$A$9,ShiftKnowledge!$G$2:$G$9,""),IFERROR(INDEX(ShiftKnowledge!$G$2:$G$9,MATCH($B57&amp;"|"&amp;$D57,ShiftKnowledge!$A$2:$A$9,0)),"")))</f>
        <v/>
      </c>
      <c r="K57" s="4">
        <f>IF($D57="Custom","",IFERROR(XLOOKUP($B57&amp;"|"&amp;$D57,ShiftKnowledge!$A$2:$A$9,ShiftKnowledge!$H$2:$H$9,""),IFERROR(INDEX(ShiftKnowledge!$H$2:$H$9,MATCH($B57&amp;"|"&amp;$D57,ShiftKnowledge!$A$2:$A$9,0)),"")))</f>
        <v/>
      </c>
      <c r="L57" s="4">
        <f>IF($D57="Custom","",IFERROR(XLOOKUP($B57&amp;"|"&amp;$D57,ShiftKnowledge!$A$2:$A$9,ShiftKnowledge!$I$2:$I$9,""),IFERROR(INDEX(ShiftKnowledge!$I$2:$I$9,MATCH($B57&amp;"|"&amp;$D57,ShiftKnowledge!$A$2:$A$9,0)),"")))</f>
        <v/>
      </c>
      <c r="M57" s="4" t="inlineStr"/>
    </row>
    <row r="58" ht="20" customHeight="1">
      <c r="A58" s="6" t="inlineStr">
        <is>
          <t>09/11/2025</t>
        </is>
      </c>
      <c r="B58" s="6" t="inlineStr">
        <is>
          <t>Oral Maxillo facial surgery (OMS)</t>
        </is>
      </c>
      <c r="C58" s="7" t="inlineStr">
        <is>
          <t>Dr. Arpita Singh</t>
        </is>
      </c>
      <c r="D58" s="6" t="inlineStr"/>
      <c r="E58" s="6">
        <f>IF($D58="Custom","",IFERROR(XLOOKUP($B58&amp;"|"&amp;$D58,ShiftKnowledge!$A$2:$A$9,ShiftKnowledge!$D$2:$D$9,""),IFERROR(INDEX(ShiftKnowledge!$D$2:$D$9,MATCH($B58&amp;"|"&amp;$D58,ShiftKnowledge!$A$2:$A$9,0)),"")))</f>
        <v/>
      </c>
      <c r="F58" s="6" t="inlineStr"/>
      <c r="G58" s="6">
        <f>IF(AND($I58="",$L58=""),"",IFERROR(VALUE($I58),0)+IFERROR(VALUE($L58),0))</f>
        <v/>
      </c>
      <c r="H58" s="6">
        <f>IF($D58="Custom","",IFERROR(XLOOKUP($B58&amp;"|"&amp;$D58,ShiftKnowledge!$A$2:$A$9,ShiftKnowledge!$E$2:$E$9,""),IFERROR(INDEX(ShiftKnowledge!$E$2:$E$9,MATCH($B58&amp;"|"&amp;$D58,ShiftKnowledge!$A$2:$A$9,0)),"")))</f>
        <v/>
      </c>
      <c r="I58" s="6">
        <f>IF($D58="Custom","",IFERROR(XLOOKUP($B58&amp;"|"&amp;$D58,ShiftKnowledge!$A$2:$A$9,ShiftKnowledge!$F$2:$F$9,""),IFERROR(INDEX(ShiftKnowledge!$F$2:$F$9,MATCH($B58&amp;"|"&amp;$D58,ShiftKnowledge!$A$2:$A$9,0)),"")))</f>
        <v/>
      </c>
      <c r="J58" s="6">
        <f>IF($D58="Custom","",IFERROR(XLOOKUP($B58&amp;"|"&amp;$D58,ShiftKnowledge!$A$2:$A$9,ShiftKnowledge!$G$2:$G$9,""),IFERROR(INDEX(ShiftKnowledge!$G$2:$G$9,MATCH($B58&amp;"|"&amp;$D58,ShiftKnowledge!$A$2:$A$9,0)),"")))</f>
        <v/>
      </c>
      <c r="K58" s="6">
        <f>IF($D58="Custom","",IFERROR(XLOOKUP($B58&amp;"|"&amp;$D58,ShiftKnowledge!$A$2:$A$9,ShiftKnowledge!$H$2:$H$9,""),IFERROR(INDEX(ShiftKnowledge!$H$2:$H$9,MATCH($B58&amp;"|"&amp;$D58,ShiftKnowledge!$A$2:$A$9,0)),"")))</f>
        <v/>
      </c>
      <c r="L58" s="6">
        <f>IF($D58="Custom","",IFERROR(XLOOKUP($B58&amp;"|"&amp;$D58,ShiftKnowledge!$A$2:$A$9,ShiftKnowledge!$I$2:$I$9,""),IFERROR(INDEX(ShiftKnowledge!$I$2:$I$9,MATCH($B58&amp;"|"&amp;$D58,ShiftKnowledge!$A$2:$A$9,0)),"")))</f>
        <v/>
      </c>
      <c r="M58" s="6" t="inlineStr"/>
    </row>
    <row r="59" ht="20" customHeight="1">
      <c r="A59" s="4" t="inlineStr">
        <is>
          <t>09/11/2025</t>
        </is>
      </c>
      <c r="B59" s="4" t="inlineStr">
        <is>
          <t>Orthopaedics</t>
        </is>
      </c>
      <c r="C59" s="5" t="inlineStr">
        <is>
          <t>Dr. Asish Rajak</t>
        </is>
      </c>
      <c r="D59" s="4" t="inlineStr"/>
      <c r="E59" s="4">
        <f>IF($D59="Custom","",IFERROR(XLOOKUP($B59&amp;"|"&amp;$D59,ShiftKnowledge!$A$2:$A$9,ShiftKnowledge!$D$2:$D$9,""),IFERROR(INDEX(ShiftKnowledge!$D$2:$D$9,MATCH($B59&amp;"|"&amp;$D59,ShiftKnowledge!$A$2:$A$9,0)),"")))</f>
        <v/>
      </c>
      <c r="F59" s="4" t="inlineStr"/>
      <c r="G59" s="4">
        <f>IF(AND($I59="",$L59=""),"",IFERROR(VALUE($I59),0)+IFERROR(VALUE($L59),0))</f>
        <v/>
      </c>
      <c r="H59" s="4">
        <f>IF($D59="Custom","",IFERROR(XLOOKUP($B59&amp;"|"&amp;$D59,ShiftKnowledge!$A$2:$A$9,ShiftKnowledge!$E$2:$E$9,""),IFERROR(INDEX(ShiftKnowledge!$E$2:$E$9,MATCH($B59&amp;"|"&amp;$D59,ShiftKnowledge!$A$2:$A$9,0)),"")))</f>
        <v/>
      </c>
      <c r="I59" s="4">
        <f>IF($D59="Custom","",IFERROR(XLOOKUP($B59&amp;"|"&amp;$D59,ShiftKnowledge!$A$2:$A$9,ShiftKnowledge!$F$2:$F$9,""),IFERROR(INDEX(ShiftKnowledge!$F$2:$F$9,MATCH($B59&amp;"|"&amp;$D59,ShiftKnowledge!$A$2:$A$9,0)),"")))</f>
        <v/>
      </c>
      <c r="J59" s="4">
        <f>IF($D59="Custom","",IFERROR(XLOOKUP($B59&amp;"|"&amp;$D59,ShiftKnowledge!$A$2:$A$9,ShiftKnowledge!$G$2:$G$9,""),IFERROR(INDEX(ShiftKnowledge!$G$2:$G$9,MATCH($B59&amp;"|"&amp;$D59,ShiftKnowledge!$A$2:$A$9,0)),"")))</f>
        <v/>
      </c>
      <c r="K59" s="4">
        <f>IF($D59="Custom","",IFERROR(XLOOKUP($B59&amp;"|"&amp;$D59,ShiftKnowledge!$A$2:$A$9,ShiftKnowledge!$H$2:$H$9,""),IFERROR(INDEX(ShiftKnowledge!$H$2:$H$9,MATCH($B59&amp;"|"&amp;$D59,ShiftKnowledge!$A$2:$A$9,0)),"")))</f>
        <v/>
      </c>
      <c r="L59" s="4">
        <f>IF($D59="Custom","",IFERROR(XLOOKUP($B59&amp;"|"&amp;$D59,ShiftKnowledge!$A$2:$A$9,ShiftKnowledge!$I$2:$I$9,""),IFERROR(INDEX(ShiftKnowledge!$I$2:$I$9,MATCH($B59&amp;"|"&amp;$D59,ShiftKnowledge!$A$2:$A$9,0)),"")))</f>
        <v/>
      </c>
      <c r="M59" s="4" t="inlineStr"/>
    </row>
    <row r="60" ht="20" customHeight="1">
      <c r="A60" s="6" t="inlineStr">
        <is>
          <t>09/11/2025</t>
        </is>
      </c>
      <c r="B60" s="6" t="inlineStr">
        <is>
          <t>Dermatology</t>
        </is>
      </c>
      <c r="C60" s="7" t="inlineStr">
        <is>
          <t>Dr. Aya Gamal Kotb Mohamed Elagamy</t>
        </is>
      </c>
      <c r="D60" s="6" t="inlineStr"/>
      <c r="E60" s="6">
        <f>IF($D60="Custom","",IFERROR(XLOOKUP($B60&amp;"|"&amp;$D60,ShiftKnowledge!$A$2:$A$9,ShiftKnowledge!$D$2:$D$9,""),IFERROR(INDEX(ShiftKnowledge!$D$2:$D$9,MATCH($B60&amp;"|"&amp;$D60,ShiftKnowledge!$A$2:$A$9,0)),"")))</f>
        <v/>
      </c>
      <c r="F60" s="6" t="inlineStr"/>
      <c r="G60" s="6">
        <f>IF(AND($I60="",$L60=""),"",IFERROR(VALUE($I60),0)+IFERROR(VALUE($L60),0))</f>
        <v/>
      </c>
      <c r="H60" s="6">
        <f>IF($D60="Custom","",IFERROR(XLOOKUP($B60&amp;"|"&amp;$D60,ShiftKnowledge!$A$2:$A$9,ShiftKnowledge!$E$2:$E$9,""),IFERROR(INDEX(ShiftKnowledge!$E$2:$E$9,MATCH($B60&amp;"|"&amp;$D60,ShiftKnowledge!$A$2:$A$9,0)),"")))</f>
        <v/>
      </c>
      <c r="I60" s="6">
        <f>IF($D60="Custom","",IFERROR(XLOOKUP($B60&amp;"|"&amp;$D60,ShiftKnowledge!$A$2:$A$9,ShiftKnowledge!$F$2:$F$9,""),IFERROR(INDEX(ShiftKnowledge!$F$2:$F$9,MATCH($B60&amp;"|"&amp;$D60,ShiftKnowledge!$A$2:$A$9,0)),"")))</f>
        <v/>
      </c>
      <c r="J60" s="6">
        <f>IF($D60="Custom","",IFERROR(XLOOKUP($B60&amp;"|"&amp;$D60,ShiftKnowledge!$A$2:$A$9,ShiftKnowledge!$G$2:$G$9,""),IFERROR(INDEX(ShiftKnowledge!$G$2:$G$9,MATCH($B60&amp;"|"&amp;$D60,ShiftKnowledge!$A$2:$A$9,0)),"")))</f>
        <v/>
      </c>
      <c r="K60" s="6">
        <f>IF($D60="Custom","",IFERROR(XLOOKUP($B60&amp;"|"&amp;$D60,ShiftKnowledge!$A$2:$A$9,ShiftKnowledge!$H$2:$H$9,""),IFERROR(INDEX(ShiftKnowledge!$H$2:$H$9,MATCH($B60&amp;"|"&amp;$D60,ShiftKnowledge!$A$2:$A$9,0)),"")))</f>
        <v/>
      </c>
      <c r="L60" s="6">
        <f>IF($D60="Custom","",IFERROR(XLOOKUP($B60&amp;"|"&amp;$D60,ShiftKnowledge!$A$2:$A$9,ShiftKnowledge!$I$2:$I$9,""),IFERROR(INDEX(ShiftKnowledge!$I$2:$I$9,MATCH($B60&amp;"|"&amp;$D60,ShiftKnowledge!$A$2:$A$9,0)),"")))</f>
        <v/>
      </c>
      <c r="M60" s="6" t="inlineStr"/>
    </row>
    <row r="61" ht="20" customHeight="1">
      <c r="A61" s="4" t="inlineStr">
        <is>
          <t>09/11/2025</t>
        </is>
      </c>
      <c r="B61" s="4" t="inlineStr">
        <is>
          <t>Dental</t>
        </is>
      </c>
      <c r="C61" s="5" t="inlineStr">
        <is>
          <t>Dr. Benjamin Premkumar</t>
        </is>
      </c>
      <c r="D61" s="4" t="inlineStr"/>
      <c r="E61" s="4">
        <f>IF($D61="Custom","",IFERROR(XLOOKUP($B61&amp;"|"&amp;$D61,ShiftKnowledge!$A$2:$A$9,ShiftKnowledge!$D$2:$D$9,""),IFERROR(INDEX(ShiftKnowledge!$D$2:$D$9,MATCH($B61&amp;"|"&amp;$D61,ShiftKnowledge!$A$2:$A$9,0)),"")))</f>
        <v/>
      </c>
      <c r="F61" s="4" t="inlineStr"/>
      <c r="G61" s="4">
        <f>IF(AND($I61="",$L61=""),"",IFERROR(VALUE($I61),0)+IFERROR(VALUE($L61),0))</f>
        <v/>
      </c>
      <c r="H61" s="4">
        <f>IF($D61="Custom","",IFERROR(XLOOKUP($B61&amp;"|"&amp;$D61,ShiftKnowledge!$A$2:$A$9,ShiftKnowledge!$E$2:$E$9,""),IFERROR(INDEX(ShiftKnowledge!$E$2:$E$9,MATCH($B61&amp;"|"&amp;$D61,ShiftKnowledge!$A$2:$A$9,0)),"")))</f>
        <v/>
      </c>
      <c r="I61" s="4">
        <f>IF($D61="Custom","",IFERROR(XLOOKUP($B61&amp;"|"&amp;$D61,ShiftKnowledge!$A$2:$A$9,ShiftKnowledge!$F$2:$F$9,""),IFERROR(INDEX(ShiftKnowledge!$F$2:$F$9,MATCH($B61&amp;"|"&amp;$D61,ShiftKnowledge!$A$2:$A$9,0)),"")))</f>
        <v/>
      </c>
      <c r="J61" s="4">
        <f>IF($D61="Custom","",IFERROR(XLOOKUP($B61&amp;"|"&amp;$D61,ShiftKnowledge!$A$2:$A$9,ShiftKnowledge!$G$2:$G$9,""),IFERROR(INDEX(ShiftKnowledge!$G$2:$G$9,MATCH($B61&amp;"|"&amp;$D61,ShiftKnowledge!$A$2:$A$9,0)),"")))</f>
        <v/>
      </c>
      <c r="K61" s="4">
        <f>IF($D61="Custom","",IFERROR(XLOOKUP($B61&amp;"|"&amp;$D61,ShiftKnowledge!$A$2:$A$9,ShiftKnowledge!$H$2:$H$9,""),IFERROR(INDEX(ShiftKnowledge!$H$2:$H$9,MATCH($B61&amp;"|"&amp;$D61,ShiftKnowledge!$A$2:$A$9,0)),"")))</f>
        <v/>
      </c>
      <c r="L61" s="4">
        <f>IF($D61="Custom","",IFERROR(XLOOKUP($B61&amp;"|"&amp;$D61,ShiftKnowledge!$A$2:$A$9,ShiftKnowledge!$I$2:$I$9,""),IFERROR(INDEX(ShiftKnowledge!$I$2:$I$9,MATCH($B61&amp;"|"&amp;$D61,ShiftKnowledge!$A$2:$A$9,0)),"")))</f>
        <v/>
      </c>
      <c r="M61" s="4" t="inlineStr"/>
    </row>
    <row r="62" ht="20" customHeight="1">
      <c r="A62" s="6" t="inlineStr">
        <is>
          <t>09/11/2025</t>
        </is>
      </c>
      <c r="B62" s="6" t="inlineStr">
        <is>
          <t>Internal Medicine</t>
        </is>
      </c>
      <c r="C62" s="7" t="inlineStr">
        <is>
          <t>Dr. Cho Thway Mon</t>
        </is>
      </c>
      <c r="D62" s="6" t="inlineStr"/>
      <c r="E62" s="6">
        <f>IF($D62="Custom","",IFERROR(XLOOKUP($B62&amp;"|"&amp;$D62,ShiftKnowledge!$A$2:$A$9,ShiftKnowledge!$D$2:$D$9,""),IFERROR(INDEX(ShiftKnowledge!$D$2:$D$9,MATCH($B62&amp;"|"&amp;$D62,ShiftKnowledge!$A$2:$A$9,0)),"")))</f>
        <v/>
      </c>
      <c r="F62" s="6" t="inlineStr"/>
      <c r="G62" s="6">
        <f>IF(AND($I62="",$L62=""),"",IFERROR(VALUE($I62),0)+IFERROR(VALUE($L62),0))</f>
        <v/>
      </c>
      <c r="H62" s="6">
        <f>IF($D62="Custom","",IFERROR(XLOOKUP($B62&amp;"|"&amp;$D62,ShiftKnowledge!$A$2:$A$9,ShiftKnowledge!$E$2:$E$9,""),IFERROR(INDEX(ShiftKnowledge!$E$2:$E$9,MATCH($B62&amp;"|"&amp;$D62,ShiftKnowledge!$A$2:$A$9,0)),"")))</f>
        <v/>
      </c>
      <c r="I62" s="6">
        <f>IF($D62="Custom","",IFERROR(XLOOKUP($B62&amp;"|"&amp;$D62,ShiftKnowledge!$A$2:$A$9,ShiftKnowledge!$F$2:$F$9,""),IFERROR(INDEX(ShiftKnowledge!$F$2:$F$9,MATCH($B62&amp;"|"&amp;$D62,ShiftKnowledge!$A$2:$A$9,0)),"")))</f>
        <v/>
      </c>
      <c r="J62" s="6">
        <f>IF($D62="Custom","",IFERROR(XLOOKUP($B62&amp;"|"&amp;$D62,ShiftKnowledge!$A$2:$A$9,ShiftKnowledge!$G$2:$G$9,""),IFERROR(INDEX(ShiftKnowledge!$G$2:$G$9,MATCH($B62&amp;"|"&amp;$D62,ShiftKnowledge!$A$2:$A$9,0)),"")))</f>
        <v/>
      </c>
      <c r="K62" s="6">
        <f>IF($D62="Custom","",IFERROR(XLOOKUP($B62&amp;"|"&amp;$D62,ShiftKnowledge!$A$2:$A$9,ShiftKnowledge!$H$2:$H$9,""),IFERROR(INDEX(ShiftKnowledge!$H$2:$H$9,MATCH($B62&amp;"|"&amp;$D62,ShiftKnowledge!$A$2:$A$9,0)),"")))</f>
        <v/>
      </c>
      <c r="L62" s="6">
        <f>IF($D62="Custom","",IFERROR(XLOOKUP($B62&amp;"|"&amp;$D62,ShiftKnowledge!$A$2:$A$9,ShiftKnowledge!$I$2:$I$9,""),IFERROR(INDEX(ShiftKnowledge!$I$2:$I$9,MATCH($B62&amp;"|"&amp;$D62,ShiftKnowledge!$A$2:$A$9,0)),"")))</f>
        <v/>
      </c>
      <c r="M62" s="6" t="inlineStr"/>
    </row>
    <row r="63" ht="20" customHeight="1">
      <c r="A63" s="4" t="inlineStr">
        <is>
          <t>09/11/2025</t>
        </is>
      </c>
      <c r="B63" s="4" t="inlineStr">
        <is>
          <t>Orthopaedics</t>
        </is>
      </c>
      <c r="C63" s="5" t="inlineStr">
        <is>
          <t>Dr. Dinesh Kumar Pandit</t>
        </is>
      </c>
      <c r="D63" s="4" t="inlineStr"/>
      <c r="E63" s="4">
        <f>IF($D63="Custom","",IFERROR(XLOOKUP($B63&amp;"|"&amp;$D63,ShiftKnowledge!$A$2:$A$9,ShiftKnowledge!$D$2:$D$9,""),IFERROR(INDEX(ShiftKnowledge!$D$2:$D$9,MATCH($B63&amp;"|"&amp;$D63,ShiftKnowledge!$A$2:$A$9,0)),"")))</f>
        <v/>
      </c>
      <c r="F63" s="4" t="inlineStr"/>
      <c r="G63" s="4">
        <f>IF(AND($I63="",$L63=""),"",IFERROR(VALUE($I63),0)+IFERROR(VALUE($L63),0))</f>
        <v/>
      </c>
      <c r="H63" s="4">
        <f>IF($D63="Custom","",IFERROR(XLOOKUP($B63&amp;"|"&amp;$D63,ShiftKnowledge!$A$2:$A$9,ShiftKnowledge!$E$2:$E$9,""),IFERROR(INDEX(ShiftKnowledge!$E$2:$E$9,MATCH($B63&amp;"|"&amp;$D63,ShiftKnowledge!$A$2:$A$9,0)),"")))</f>
        <v/>
      </c>
      <c r="I63" s="4">
        <f>IF($D63="Custom","",IFERROR(XLOOKUP($B63&amp;"|"&amp;$D63,ShiftKnowledge!$A$2:$A$9,ShiftKnowledge!$F$2:$F$9,""),IFERROR(INDEX(ShiftKnowledge!$F$2:$F$9,MATCH($B63&amp;"|"&amp;$D63,ShiftKnowledge!$A$2:$A$9,0)),"")))</f>
        <v/>
      </c>
      <c r="J63" s="4">
        <f>IF($D63="Custom","",IFERROR(XLOOKUP($B63&amp;"|"&amp;$D63,ShiftKnowledge!$A$2:$A$9,ShiftKnowledge!$G$2:$G$9,""),IFERROR(INDEX(ShiftKnowledge!$G$2:$G$9,MATCH($B63&amp;"|"&amp;$D63,ShiftKnowledge!$A$2:$A$9,0)),"")))</f>
        <v/>
      </c>
      <c r="K63" s="4">
        <f>IF($D63="Custom","",IFERROR(XLOOKUP($B63&amp;"|"&amp;$D63,ShiftKnowledge!$A$2:$A$9,ShiftKnowledge!$H$2:$H$9,""),IFERROR(INDEX(ShiftKnowledge!$H$2:$H$9,MATCH($B63&amp;"|"&amp;$D63,ShiftKnowledge!$A$2:$A$9,0)),"")))</f>
        <v/>
      </c>
      <c r="L63" s="4">
        <f>IF($D63="Custom","",IFERROR(XLOOKUP($B63&amp;"|"&amp;$D63,ShiftKnowledge!$A$2:$A$9,ShiftKnowledge!$I$2:$I$9,""),IFERROR(INDEX(ShiftKnowledge!$I$2:$I$9,MATCH($B63&amp;"|"&amp;$D63,ShiftKnowledge!$A$2:$A$9,0)),"")))</f>
        <v/>
      </c>
      <c r="M63" s="4" t="inlineStr"/>
    </row>
    <row r="64" ht="20" customHeight="1">
      <c r="A64" s="6" t="inlineStr">
        <is>
          <t>09/11/2025</t>
        </is>
      </c>
      <c r="B64" s="6" t="inlineStr">
        <is>
          <t>Internal Medicine</t>
        </is>
      </c>
      <c r="C64" s="7" t="inlineStr">
        <is>
          <t>Dr. Ei Shwe Yee Myint</t>
        </is>
      </c>
      <c r="D64" s="6" t="inlineStr"/>
      <c r="E64" s="6">
        <f>IF($D64="Custom","",IFERROR(XLOOKUP($B64&amp;"|"&amp;$D64,ShiftKnowledge!$A$2:$A$9,ShiftKnowledge!$D$2:$D$9,""),IFERROR(INDEX(ShiftKnowledge!$D$2:$D$9,MATCH($B64&amp;"|"&amp;$D64,ShiftKnowledge!$A$2:$A$9,0)),"")))</f>
        <v/>
      </c>
      <c r="F64" s="6" t="inlineStr"/>
      <c r="G64" s="6">
        <f>IF(AND($I64="",$L64=""),"",IFERROR(VALUE($I64),0)+IFERROR(VALUE($L64),0))</f>
        <v/>
      </c>
      <c r="H64" s="6">
        <f>IF($D64="Custom","",IFERROR(XLOOKUP($B64&amp;"|"&amp;$D64,ShiftKnowledge!$A$2:$A$9,ShiftKnowledge!$E$2:$E$9,""),IFERROR(INDEX(ShiftKnowledge!$E$2:$E$9,MATCH($B64&amp;"|"&amp;$D64,ShiftKnowledge!$A$2:$A$9,0)),"")))</f>
        <v/>
      </c>
      <c r="I64" s="6">
        <f>IF($D64="Custom","",IFERROR(XLOOKUP($B64&amp;"|"&amp;$D64,ShiftKnowledge!$A$2:$A$9,ShiftKnowledge!$F$2:$F$9,""),IFERROR(INDEX(ShiftKnowledge!$F$2:$F$9,MATCH($B64&amp;"|"&amp;$D64,ShiftKnowledge!$A$2:$A$9,0)),"")))</f>
        <v/>
      </c>
      <c r="J64" s="6">
        <f>IF($D64="Custom","",IFERROR(XLOOKUP($B64&amp;"|"&amp;$D64,ShiftKnowledge!$A$2:$A$9,ShiftKnowledge!$G$2:$G$9,""),IFERROR(INDEX(ShiftKnowledge!$G$2:$G$9,MATCH($B64&amp;"|"&amp;$D64,ShiftKnowledge!$A$2:$A$9,0)),"")))</f>
        <v/>
      </c>
      <c r="K64" s="6">
        <f>IF($D64="Custom","",IFERROR(XLOOKUP($B64&amp;"|"&amp;$D64,ShiftKnowledge!$A$2:$A$9,ShiftKnowledge!$H$2:$H$9,""),IFERROR(INDEX(ShiftKnowledge!$H$2:$H$9,MATCH($B64&amp;"|"&amp;$D64,ShiftKnowledge!$A$2:$A$9,0)),"")))</f>
        <v/>
      </c>
      <c r="L64" s="6">
        <f>IF($D64="Custom","",IFERROR(XLOOKUP($B64&amp;"|"&amp;$D64,ShiftKnowledge!$A$2:$A$9,ShiftKnowledge!$I$2:$I$9,""),IFERROR(INDEX(ShiftKnowledge!$I$2:$I$9,MATCH($B64&amp;"|"&amp;$D64,ShiftKnowledge!$A$2:$A$9,0)),"")))</f>
        <v/>
      </c>
      <c r="M64" s="6" t="inlineStr"/>
    </row>
    <row r="65" ht="20" customHeight="1">
      <c r="A65" s="4" t="inlineStr">
        <is>
          <t>09/11/2025</t>
        </is>
      </c>
      <c r="B65" s="4" t="inlineStr">
        <is>
          <t>Internal Medicine</t>
        </is>
      </c>
      <c r="C65" s="5" t="inlineStr">
        <is>
          <t>Dr. Hatem Hassan Mohamed Abdelhafez</t>
        </is>
      </c>
      <c r="D65" s="4" t="inlineStr"/>
      <c r="E65" s="4">
        <f>IF($D65="Custom","",IFERROR(XLOOKUP($B65&amp;"|"&amp;$D65,ShiftKnowledge!$A$2:$A$9,ShiftKnowledge!$D$2:$D$9,""),IFERROR(INDEX(ShiftKnowledge!$D$2:$D$9,MATCH($B65&amp;"|"&amp;$D65,ShiftKnowledge!$A$2:$A$9,0)),"")))</f>
        <v/>
      </c>
      <c r="F65" s="4" t="inlineStr"/>
      <c r="G65" s="4">
        <f>IF(AND($I65="",$L65=""),"",IFERROR(VALUE($I65),0)+IFERROR(VALUE($L65),0))</f>
        <v/>
      </c>
      <c r="H65" s="4">
        <f>IF($D65="Custom","",IFERROR(XLOOKUP($B65&amp;"|"&amp;$D65,ShiftKnowledge!$A$2:$A$9,ShiftKnowledge!$E$2:$E$9,""),IFERROR(INDEX(ShiftKnowledge!$E$2:$E$9,MATCH($B65&amp;"|"&amp;$D65,ShiftKnowledge!$A$2:$A$9,0)),"")))</f>
        <v/>
      </c>
      <c r="I65" s="4">
        <f>IF($D65="Custom","",IFERROR(XLOOKUP($B65&amp;"|"&amp;$D65,ShiftKnowledge!$A$2:$A$9,ShiftKnowledge!$F$2:$F$9,""),IFERROR(INDEX(ShiftKnowledge!$F$2:$F$9,MATCH($B65&amp;"|"&amp;$D65,ShiftKnowledge!$A$2:$A$9,0)),"")))</f>
        <v/>
      </c>
      <c r="J65" s="4">
        <f>IF($D65="Custom","",IFERROR(XLOOKUP($B65&amp;"|"&amp;$D65,ShiftKnowledge!$A$2:$A$9,ShiftKnowledge!$G$2:$G$9,""),IFERROR(INDEX(ShiftKnowledge!$G$2:$G$9,MATCH($B65&amp;"|"&amp;$D65,ShiftKnowledge!$A$2:$A$9,0)),"")))</f>
        <v/>
      </c>
      <c r="K65" s="4">
        <f>IF($D65="Custom","",IFERROR(XLOOKUP($B65&amp;"|"&amp;$D65,ShiftKnowledge!$A$2:$A$9,ShiftKnowledge!$H$2:$H$9,""),IFERROR(INDEX(ShiftKnowledge!$H$2:$H$9,MATCH($B65&amp;"|"&amp;$D65,ShiftKnowledge!$A$2:$A$9,0)),"")))</f>
        <v/>
      </c>
      <c r="L65" s="4">
        <f>IF($D65="Custom","",IFERROR(XLOOKUP($B65&amp;"|"&amp;$D65,ShiftKnowledge!$A$2:$A$9,ShiftKnowledge!$I$2:$I$9,""),IFERROR(INDEX(ShiftKnowledge!$I$2:$I$9,MATCH($B65&amp;"|"&amp;$D65,ShiftKnowledge!$A$2:$A$9,0)),"")))</f>
        <v/>
      </c>
      <c r="M65" s="4" t="inlineStr"/>
    </row>
    <row r="66" ht="20" customHeight="1">
      <c r="A66" s="6" t="inlineStr">
        <is>
          <t>09/11/2025</t>
        </is>
      </c>
      <c r="B66" s="6" t="inlineStr">
        <is>
          <t>Gynaecology</t>
        </is>
      </c>
      <c r="C66" s="7" t="inlineStr">
        <is>
          <t>Dr. Hawwa Inaya</t>
        </is>
      </c>
      <c r="D66" s="6" t="inlineStr"/>
      <c r="E66" s="6">
        <f>IF($D66="Custom","",IFERROR(XLOOKUP($B66&amp;"|"&amp;$D66,ShiftKnowledge!$A$2:$A$9,ShiftKnowledge!$D$2:$D$9,""),IFERROR(INDEX(ShiftKnowledge!$D$2:$D$9,MATCH($B66&amp;"|"&amp;$D66,ShiftKnowledge!$A$2:$A$9,0)),"")))</f>
        <v/>
      </c>
      <c r="F66" s="6" t="inlineStr"/>
      <c r="G66" s="6">
        <f>IF(AND($I66="",$L66=""),"",IFERROR(VALUE($I66),0)+IFERROR(VALUE($L66),0))</f>
        <v/>
      </c>
      <c r="H66" s="6">
        <f>IF($D66="Custom","",IFERROR(XLOOKUP($B66&amp;"|"&amp;$D66,ShiftKnowledge!$A$2:$A$9,ShiftKnowledge!$E$2:$E$9,""),IFERROR(INDEX(ShiftKnowledge!$E$2:$E$9,MATCH($B66&amp;"|"&amp;$D66,ShiftKnowledge!$A$2:$A$9,0)),"")))</f>
        <v/>
      </c>
      <c r="I66" s="6">
        <f>IF($D66="Custom","",IFERROR(XLOOKUP($B66&amp;"|"&amp;$D66,ShiftKnowledge!$A$2:$A$9,ShiftKnowledge!$F$2:$F$9,""),IFERROR(INDEX(ShiftKnowledge!$F$2:$F$9,MATCH($B66&amp;"|"&amp;$D66,ShiftKnowledge!$A$2:$A$9,0)),"")))</f>
        <v/>
      </c>
      <c r="J66" s="6">
        <f>IF($D66="Custom","",IFERROR(XLOOKUP($B66&amp;"|"&amp;$D66,ShiftKnowledge!$A$2:$A$9,ShiftKnowledge!$G$2:$G$9,""),IFERROR(INDEX(ShiftKnowledge!$G$2:$G$9,MATCH($B66&amp;"|"&amp;$D66,ShiftKnowledge!$A$2:$A$9,0)),"")))</f>
        <v/>
      </c>
      <c r="K66" s="6">
        <f>IF($D66="Custom","",IFERROR(XLOOKUP($B66&amp;"|"&amp;$D66,ShiftKnowledge!$A$2:$A$9,ShiftKnowledge!$H$2:$H$9,""),IFERROR(INDEX(ShiftKnowledge!$H$2:$H$9,MATCH($B66&amp;"|"&amp;$D66,ShiftKnowledge!$A$2:$A$9,0)),"")))</f>
        <v/>
      </c>
      <c r="L66" s="6">
        <f>IF($D66="Custom","",IFERROR(XLOOKUP($B66&amp;"|"&amp;$D66,ShiftKnowledge!$A$2:$A$9,ShiftKnowledge!$I$2:$I$9,""),IFERROR(INDEX(ShiftKnowledge!$I$2:$I$9,MATCH($B66&amp;"|"&amp;$D66,ShiftKnowledge!$A$2:$A$9,0)),"")))</f>
        <v/>
      </c>
      <c r="M66" s="6" t="inlineStr"/>
    </row>
    <row r="67" ht="20" customHeight="1">
      <c r="A67" s="4" t="inlineStr">
        <is>
          <t>09/11/2025</t>
        </is>
      </c>
      <c r="B67" s="4" t="inlineStr">
        <is>
          <t>Gynaecology</t>
        </is>
      </c>
      <c r="C67" s="5" t="inlineStr">
        <is>
          <t>Dr. Joshila Chanu Yumnam Bhattarai</t>
        </is>
      </c>
      <c r="D67" s="4" t="inlineStr"/>
      <c r="E67" s="4">
        <f>IF($D67="Custom","",IFERROR(XLOOKUP($B67&amp;"|"&amp;$D67,ShiftKnowledge!$A$2:$A$9,ShiftKnowledge!$D$2:$D$9,""),IFERROR(INDEX(ShiftKnowledge!$D$2:$D$9,MATCH($B67&amp;"|"&amp;$D67,ShiftKnowledge!$A$2:$A$9,0)),"")))</f>
        <v/>
      </c>
      <c r="F67" s="4" t="inlineStr"/>
      <c r="G67" s="4">
        <f>IF(AND($I67="",$L67=""),"",IFERROR(VALUE($I67),0)+IFERROR(VALUE($L67),0))</f>
        <v/>
      </c>
      <c r="H67" s="4">
        <f>IF($D67="Custom","",IFERROR(XLOOKUP($B67&amp;"|"&amp;$D67,ShiftKnowledge!$A$2:$A$9,ShiftKnowledge!$E$2:$E$9,""),IFERROR(INDEX(ShiftKnowledge!$E$2:$E$9,MATCH($B67&amp;"|"&amp;$D67,ShiftKnowledge!$A$2:$A$9,0)),"")))</f>
        <v/>
      </c>
      <c r="I67" s="4">
        <f>IF($D67="Custom","",IFERROR(XLOOKUP($B67&amp;"|"&amp;$D67,ShiftKnowledge!$A$2:$A$9,ShiftKnowledge!$F$2:$F$9,""),IFERROR(INDEX(ShiftKnowledge!$F$2:$F$9,MATCH($B67&amp;"|"&amp;$D67,ShiftKnowledge!$A$2:$A$9,0)),"")))</f>
        <v/>
      </c>
      <c r="J67" s="4">
        <f>IF($D67="Custom","",IFERROR(XLOOKUP($B67&amp;"|"&amp;$D67,ShiftKnowledge!$A$2:$A$9,ShiftKnowledge!$G$2:$G$9,""),IFERROR(INDEX(ShiftKnowledge!$G$2:$G$9,MATCH($B67&amp;"|"&amp;$D67,ShiftKnowledge!$A$2:$A$9,0)),"")))</f>
        <v/>
      </c>
      <c r="K67" s="4">
        <f>IF($D67="Custom","",IFERROR(XLOOKUP($B67&amp;"|"&amp;$D67,ShiftKnowledge!$A$2:$A$9,ShiftKnowledge!$H$2:$H$9,""),IFERROR(INDEX(ShiftKnowledge!$H$2:$H$9,MATCH($B67&amp;"|"&amp;$D67,ShiftKnowledge!$A$2:$A$9,0)),"")))</f>
        <v/>
      </c>
      <c r="L67" s="4">
        <f>IF($D67="Custom","",IFERROR(XLOOKUP($B67&amp;"|"&amp;$D67,ShiftKnowledge!$A$2:$A$9,ShiftKnowledge!$I$2:$I$9,""),IFERROR(INDEX(ShiftKnowledge!$I$2:$I$9,MATCH($B67&amp;"|"&amp;$D67,ShiftKnowledge!$A$2:$A$9,0)),"")))</f>
        <v/>
      </c>
      <c r="M67" s="4" t="inlineStr"/>
    </row>
    <row r="68" ht="20" customHeight="1">
      <c r="A68" s="6" t="inlineStr">
        <is>
          <t>09/11/2025</t>
        </is>
      </c>
      <c r="B68" s="6" t="inlineStr">
        <is>
          <t>Gynaecology</t>
        </is>
      </c>
      <c r="C68" s="7" t="inlineStr">
        <is>
          <t>Dr. Jumailath Beygum</t>
        </is>
      </c>
      <c r="D68" s="6" t="inlineStr"/>
      <c r="E68" s="6">
        <f>IF($D68="Custom","",IFERROR(XLOOKUP($B68&amp;"|"&amp;$D68,ShiftKnowledge!$A$2:$A$9,ShiftKnowledge!$D$2:$D$9,""),IFERROR(INDEX(ShiftKnowledge!$D$2:$D$9,MATCH($B68&amp;"|"&amp;$D68,ShiftKnowledge!$A$2:$A$9,0)),"")))</f>
        <v/>
      </c>
      <c r="F68" s="6" t="inlineStr"/>
      <c r="G68" s="6">
        <f>IF(AND($I68="",$L68=""),"",IFERROR(VALUE($I68),0)+IFERROR(VALUE($L68),0))</f>
        <v/>
      </c>
      <c r="H68" s="6">
        <f>IF($D68="Custom","",IFERROR(XLOOKUP($B68&amp;"|"&amp;$D68,ShiftKnowledge!$A$2:$A$9,ShiftKnowledge!$E$2:$E$9,""),IFERROR(INDEX(ShiftKnowledge!$E$2:$E$9,MATCH($B68&amp;"|"&amp;$D68,ShiftKnowledge!$A$2:$A$9,0)),"")))</f>
        <v/>
      </c>
      <c r="I68" s="6">
        <f>IF($D68="Custom","",IFERROR(XLOOKUP($B68&amp;"|"&amp;$D68,ShiftKnowledge!$A$2:$A$9,ShiftKnowledge!$F$2:$F$9,""),IFERROR(INDEX(ShiftKnowledge!$F$2:$F$9,MATCH($B68&amp;"|"&amp;$D68,ShiftKnowledge!$A$2:$A$9,0)),"")))</f>
        <v/>
      </c>
      <c r="J68" s="6">
        <f>IF($D68="Custom","",IFERROR(XLOOKUP($B68&amp;"|"&amp;$D68,ShiftKnowledge!$A$2:$A$9,ShiftKnowledge!$G$2:$G$9,""),IFERROR(INDEX(ShiftKnowledge!$G$2:$G$9,MATCH($B68&amp;"|"&amp;$D68,ShiftKnowledge!$A$2:$A$9,0)),"")))</f>
        <v/>
      </c>
      <c r="K68" s="6">
        <f>IF($D68="Custom","",IFERROR(XLOOKUP($B68&amp;"|"&amp;$D68,ShiftKnowledge!$A$2:$A$9,ShiftKnowledge!$H$2:$H$9,""),IFERROR(INDEX(ShiftKnowledge!$H$2:$H$9,MATCH($B68&amp;"|"&amp;$D68,ShiftKnowledge!$A$2:$A$9,0)),"")))</f>
        <v/>
      </c>
      <c r="L68" s="6">
        <f>IF($D68="Custom","",IFERROR(XLOOKUP($B68&amp;"|"&amp;$D68,ShiftKnowledge!$A$2:$A$9,ShiftKnowledge!$I$2:$I$9,""),IFERROR(INDEX(ShiftKnowledge!$I$2:$I$9,MATCH($B68&amp;"|"&amp;$D68,ShiftKnowledge!$A$2:$A$9,0)),"")))</f>
        <v/>
      </c>
      <c r="M68" s="6" t="inlineStr"/>
    </row>
    <row r="69" ht="20" customHeight="1">
      <c r="A69" s="4" t="inlineStr">
        <is>
          <t>09/11/2025</t>
        </is>
      </c>
      <c r="B69" s="4" t="inlineStr">
        <is>
          <t>General Surgery</t>
        </is>
      </c>
      <c r="C69" s="5" t="inlineStr">
        <is>
          <t>Dr. Khine Su Kyi</t>
        </is>
      </c>
      <c r="D69" s="4" t="inlineStr"/>
      <c r="E69" s="4">
        <f>IF($D69="Custom","",IFERROR(XLOOKUP($B69&amp;"|"&amp;$D69,ShiftKnowledge!$A$2:$A$9,ShiftKnowledge!$D$2:$D$9,""),IFERROR(INDEX(ShiftKnowledge!$D$2:$D$9,MATCH($B69&amp;"|"&amp;$D69,ShiftKnowledge!$A$2:$A$9,0)),"")))</f>
        <v/>
      </c>
      <c r="F69" s="4" t="inlineStr"/>
      <c r="G69" s="4">
        <f>IF(AND($I69="",$L69=""),"",IFERROR(VALUE($I69),0)+IFERROR(VALUE($L69),0))</f>
        <v/>
      </c>
      <c r="H69" s="4">
        <f>IF($D69="Custom","",IFERROR(XLOOKUP($B69&amp;"|"&amp;$D69,ShiftKnowledge!$A$2:$A$9,ShiftKnowledge!$E$2:$E$9,""),IFERROR(INDEX(ShiftKnowledge!$E$2:$E$9,MATCH($B69&amp;"|"&amp;$D69,ShiftKnowledge!$A$2:$A$9,0)),"")))</f>
        <v/>
      </c>
      <c r="I69" s="4">
        <f>IF($D69="Custom","",IFERROR(XLOOKUP($B69&amp;"|"&amp;$D69,ShiftKnowledge!$A$2:$A$9,ShiftKnowledge!$F$2:$F$9,""),IFERROR(INDEX(ShiftKnowledge!$F$2:$F$9,MATCH($B69&amp;"|"&amp;$D69,ShiftKnowledge!$A$2:$A$9,0)),"")))</f>
        <v/>
      </c>
      <c r="J69" s="4">
        <f>IF($D69="Custom","",IFERROR(XLOOKUP($B69&amp;"|"&amp;$D69,ShiftKnowledge!$A$2:$A$9,ShiftKnowledge!$G$2:$G$9,""),IFERROR(INDEX(ShiftKnowledge!$G$2:$G$9,MATCH($B69&amp;"|"&amp;$D69,ShiftKnowledge!$A$2:$A$9,0)),"")))</f>
        <v/>
      </c>
      <c r="K69" s="4">
        <f>IF($D69="Custom","",IFERROR(XLOOKUP($B69&amp;"|"&amp;$D69,ShiftKnowledge!$A$2:$A$9,ShiftKnowledge!$H$2:$H$9,""),IFERROR(INDEX(ShiftKnowledge!$H$2:$H$9,MATCH($B69&amp;"|"&amp;$D69,ShiftKnowledge!$A$2:$A$9,0)),"")))</f>
        <v/>
      </c>
      <c r="L69" s="4">
        <f>IF($D69="Custom","",IFERROR(XLOOKUP($B69&amp;"|"&amp;$D69,ShiftKnowledge!$A$2:$A$9,ShiftKnowledge!$I$2:$I$9,""),IFERROR(INDEX(ShiftKnowledge!$I$2:$I$9,MATCH($B69&amp;"|"&amp;$D69,ShiftKnowledge!$A$2:$A$9,0)),"")))</f>
        <v/>
      </c>
      <c r="M69" s="4" t="inlineStr"/>
    </row>
    <row r="70" ht="20" customHeight="1">
      <c r="A70" s="6" t="inlineStr">
        <is>
          <t>09/11/2025</t>
        </is>
      </c>
      <c r="B70" s="6" t="inlineStr">
        <is>
          <t>Dental</t>
        </is>
      </c>
      <c r="C70" s="7" t="inlineStr">
        <is>
          <t>Dr. Mariyam Afza Zuhair</t>
        </is>
      </c>
      <c r="D70" s="6" t="inlineStr"/>
      <c r="E70" s="6">
        <f>IF($D70="Custom","",IFERROR(XLOOKUP($B70&amp;"|"&amp;$D70,ShiftKnowledge!$A$2:$A$9,ShiftKnowledge!$D$2:$D$9,""),IFERROR(INDEX(ShiftKnowledge!$D$2:$D$9,MATCH($B70&amp;"|"&amp;$D70,ShiftKnowledge!$A$2:$A$9,0)),"")))</f>
        <v/>
      </c>
      <c r="F70" s="6" t="inlineStr"/>
      <c r="G70" s="6">
        <f>IF(AND($I70="",$L70=""),"",IFERROR(VALUE($I70),0)+IFERROR(VALUE($L70),0))</f>
        <v/>
      </c>
      <c r="H70" s="6">
        <f>IF($D70="Custom","",IFERROR(XLOOKUP($B70&amp;"|"&amp;$D70,ShiftKnowledge!$A$2:$A$9,ShiftKnowledge!$E$2:$E$9,""),IFERROR(INDEX(ShiftKnowledge!$E$2:$E$9,MATCH($B70&amp;"|"&amp;$D70,ShiftKnowledge!$A$2:$A$9,0)),"")))</f>
        <v/>
      </c>
      <c r="I70" s="6">
        <f>IF($D70="Custom","",IFERROR(XLOOKUP($B70&amp;"|"&amp;$D70,ShiftKnowledge!$A$2:$A$9,ShiftKnowledge!$F$2:$F$9,""),IFERROR(INDEX(ShiftKnowledge!$F$2:$F$9,MATCH($B70&amp;"|"&amp;$D70,ShiftKnowledge!$A$2:$A$9,0)),"")))</f>
        <v/>
      </c>
      <c r="J70" s="6">
        <f>IF($D70="Custom","",IFERROR(XLOOKUP($B70&amp;"|"&amp;$D70,ShiftKnowledge!$A$2:$A$9,ShiftKnowledge!$G$2:$G$9,""),IFERROR(INDEX(ShiftKnowledge!$G$2:$G$9,MATCH($B70&amp;"|"&amp;$D70,ShiftKnowledge!$A$2:$A$9,0)),"")))</f>
        <v/>
      </c>
      <c r="K70" s="6">
        <f>IF($D70="Custom","",IFERROR(XLOOKUP($B70&amp;"|"&amp;$D70,ShiftKnowledge!$A$2:$A$9,ShiftKnowledge!$H$2:$H$9,""),IFERROR(INDEX(ShiftKnowledge!$H$2:$H$9,MATCH($B70&amp;"|"&amp;$D70,ShiftKnowledge!$A$2:$A$9,0)),"")))</f>
        <v/>
      </c>
      <c r="L70" s="6">
        <f>IF($D70="Custom","",IFERROR(XLOOKUP($B70&amp;"|"&amp;$D70,ShiftKnowledge!$A$2:$A$9,ShiftKnowledge!$I$2:$I$9,""),IFERROR(INDEX(ShiftKnowledge!$I$2:$I$9,MATCH($B70&amp;"|"&amp;$D70,ShiftKnowledge!$A$2:$A$9,0)),"")))</f>
        <v/>
      </c>
      <c r="M70" s="6" t="inlineStr"/>
    </row>
    <row r="71" ht="20" customHeight="1">
      <c r="A71" s="4" t="inlineStr">
        <is>
          <t>09/11/2025</t>
        </is>
      </c>
      <c r="B71" s="4" t="inlineStr">
        <is>
          <t>Psychiatry</t>
        </is>
      </c>
      <c r="C71" s="5" t="inlineStr">
        <is>
          <t>Dr. Maumoon Shareef</t>
        </is>
      </c>
      <c r="D71" s="4" t="inlineStr"/>
      <c r="E71" s="4">
        <f>IF($D71="Custom","",IFERROR(XLOOKUP($B71&amp;"|"&amp;$D71,ShiftKnowledge!$A$2:$A$9,ShiftKnowledge!$D$2:$D$9,""),IFERROR(INDEX(ShiftKnowledge!$D$2:$D$9,MATCH($B71&amp;"|"&amp;$D71,ShiftKnowledge!$A$2:$A$9,0)),"")))</f>
        <v/>
      </c>
      <c r="F71" s="4" t="inlineStr"/>
      <c r="G71" s="4">
        <f>IF(AND($I71="",$L71=""),"",IFERROR(VALUE($I71),0)+IFERROR(VALUE($L71),0))</f>
        <v/>
      </c>
      <c r="H71" s="4">
        <f>IF($D71="Custom","",IFERROR(XLOOKUP($B71&amp;"|"&amp;$D71,ShiftKnowledge!$A$2:$A$9,ShiftKnowledge!$E$2:$E$9,""),IFERROR(INDEX(ShiftKnowledge!$E$2:$E$9,MATCH($B71&amp;"|"&amp;$D71,ShiftKnowledge!$A$2:$A$9,0)),"")))</f>
        <v/>
      </c>
      <c r="I71" s="4">
        <f>IF($D71="Custom","",IFERROR(XLOOKUP($B71&amp;"|"&amp;$D71,ShiftKnowledge!$A$2:$A$9,ShiftKnowledge!$F$2:$F$9,""),IFERROR(INDEX(ShiftKnowledge!$F$2:$F$9,MATCH($B71&amp;"|"&amp;$D71,ShiftKnowledge!$A$2:$A$9,0)),"")))</f>
        <v/>
      </c>
      <c r="J71" s="4">
        <f>IF($D71="Custom","",IFERROR(XLOOKUP($B71&amp;"|"&amp;$D71,ShiftKnowledge!$A$2:$A$9,ShiftKnowledge!$G$2:$G$9,""),IFERROR(INDEX(ShiftKnowledge!$G$2:$G$9,MATCH($B71&amp;"|"&amp;$D71,ShiftKnowledge!$A$2:$A$9,0)),"")))</f>
        <v/>
      </c>
      <c r="K71" s="4">
        <f>IF($D71="Custom","",IFERROR(XLOOKUP($B71&amp;"|"&amp;$D71,ShiftKnowledge!$A$2:$A$9,ShiftKnowledge!$H$2:$H$9,""),IFERROR(INDEX(ShiftKnowledge!$H$2:$H$9,MATCH($B71&amp;"|"&amp;$D71,ShiftKnowledge!$A$2:$A$9,0)),"")))</f>
        <v/>
      </c>
      <c r="L71" s="4">
        <f>IF($D71="Custom","",IFERROR(XLOOKUP($B71&amp;"|"&amp;$D71,ShiftKnowledge!$A$2:$A$9,ShiftKnowledge!$I$2:$I$9,""),IFERROR(INDEX(ShiftKnowledge!$I$2:$I$9,MATCH($B71&amp;"|"&amp;$D71,ShiftKnowledge!$A$2:$A$9,0)),"")))</f>
        <v/>
      </c>
      <c r="M71" s="4" t="inlineStr"/>
    </row>
    <row r="72" ht="20" customHeight="1">
      <c r="A72" s="6" t="inlineStr">
        <is>
          <t>09/11/2025</t>
        </is>
      </c>
      <c r="B72" s="6" t="inlineStr">
        <is>
          <t>Internal Medicine</t>
        </is>
      </c>
      <c r="C72" s="7" t="inlineStr">
        <is>
          <t>Dr. Mihuna Ibrahim</t>
        </is>
      </c>
      <c r="D72" s="6" t="inlineStr"/>
      <c r="E72" s="6">
        <f>IF($D72="Custom","",IFERROR(XLOOKUP($B72&amp;"|"&amp;$D72,ShiftKnowledge!$A$2:$A$9,ShiftKnowledge!$D$2:$D$9,""),IFERROR(INDEX(ShiftKnowledge!$D$2:$D$9,MATCH($B72&amp;"|"&amp;$D72,ShiftKnowledge!$A$2:$A$9,0)),"")))</f>
        <v/>
      </c>
      <c r="F72" s="6" t="inlineStr"/>
      <c r="G72" s="6">
        <f>IF(AND($I72="",$L72=""),"",IFERROR(VALUE($I72),0)+IFERROR(VALUE($L72),0))</f>
        <v/>
      </c>
      <c r="H72" s="6">
        <f>IF($D72="Custom","",IFERROR(XLOOKUP($B72&amp;"|"&amp;$D72,ShiftKnowledge!$A$2:$A$9,ShiftKnowledge!$E$2:$E$9,""),IFERROR(INDEX(ShiftKnowledge!$E$2:$E$9,MATCH($B72&amp;"|"&amp;$D72,ShiftKnowledge!$A$2:$A$9,0)),"")))</f>
        <v/>
      </c>
      <c r="I72" s="6">
        <f>IF($D72="Custom","",IFERROR(XLOOKUP($B72&amp;"|"&amp;$D72,ShiftKnowledge!$A$2:$A$9,ShiftKnowledge!$F$2:$F$9,""),IFERROR(INDEX(ShiftKnowledge!$F$2:$F$9,MATCH($B72&amp;"|"&amp;$D72,ShiftKnowledge!$A$2:$A$9,0)),"")))</f>
        <v/>
      </c>
      <c r="J72" s="6">
        <f>IF($D72="Custom","",IFERROR(XLOOKUP($B72&amp;"|"&amp;$D72,ShiftKnowledge!$A$2:$A$9,ShiftKnowledge!$G$2:$G$9,""),IFERROR(INDEX(ShiftKnowledge!$G$2:$G$9,MATCH($B72&amp;"|"&amp;$D72,ShiftKnowledge!$A$2:$A$9,0)),"")))</f>
        <v/>
      </c>
      <c r="K72" s="6">
        <f>IF($D72="Custom","",IFERROR(XLOOKUP($B72&amp;"|"&amp;$D72,ShiftKnowledge!$A$2:$A$9,ShiftKnowledge!$H$2:$H$9,""),IFERROR(INDEX(ShiftKnowledge!$H$2:$H$9,MATCH($B72&amp;"|"&amp;$D72,ShiftKnowledge!$A$2:$A$9,0)),"")))</f>
        <v/>
      </c>
      <c r="L72" s="6">
        <f>IF($D72="Custom","",IFERROR(XLOOKUP($B72&amp;"|"&amp;$D72,ShiftKnowledge!$A$2:$A$9,ShiftKnowledge!$I$2:$I$9,""),IFERROR(INDEX(ShiftKnowledge!$I$2:$I$9,MATCH($B72&amp;"|"&amp;$D72,ShiftKnowledge!$A$2:$A$9,0)),"")))</f>
        <v/>
      </c>
      <c r="M72" s="6" t="inlineStr"/>
    </row>
    <row r="73" ht="20" customHeight="1">
      <c r="A73" s="4" t="inlineStr">
        <is>
          <t>09/11/2025</t>
        </is>
      </c>
      <c r="B73" s="4" t="inlineStr">
        <is>
          <t>Endocrinology</t>
        </is>
      </c>
      <c r="C73" s="5" t="inlineStr">
        <is>
          <t>Dr. Mohamed Wisham</t>
        </is>
      </c>
      <c r="D73" s="4" t="inlineStr"/>
      <c r="E73" s="4">
        <f>IF($D73="Custom","",IFERROR(XLOOKUP($B73&amp;"|"&amp;$D73,ShiftKnowledge!$A$2:$A$9,ShiftKnowledge!$D$2:$D$9,""),IFERROR(INDEX(ShiftKnowledge!$D$2:$D$9,MATCH($B73&amp;"|"&amp;$D73,ShiftKnowledge!$A$2:$A$9,0)),"")))</f>
        <v/>
      </c>
      <c r="F73" s="4" t="inlineStr"/>
      <c r="G73" s="4">
        <f>IF(AND($I73="",$L73=""),"",IFERROR(VALUE($I73),0)+IFERROR(VALUE($L73),0))</f>
        <v/>
      </c>
      <c r="H73" s="4">
        <f>IF($D73="Custom","",IFERROR(XLOOKUP($B73&amp;"|"&amp;$D73,ShiftKnowledge!$A$2:$A$9,ShiftKnowledge!$E$2:$E$9,""),IFERROR(INDEX(ShiftKnowledge!$E$2:$E$9,MATCH($B73&amp;"|"&amp;$D73,ShiftKnowledge!$A$2:$A$9,0)),"")))</f>
        <v/>
      </c>
      <c r="I73" s="4">
        <f>IF($D73="Custom","",IFERROR(XLOOKUP($B73&amp;"|"&amp;$D73,ShiftKnowledge!$A$2:$A$9,ShiftKnowledge!$F$2:$F$9,""),IFERROR(INDEX(ShiftKnowledge!$F$2:$F$9,MATCH($B73&amp;"|"&amp;$D73,ShiftKnowledge!$A$2:$A$9,0)),"")))</f>
        <v/>
      </c>
      <c r="J73" s="4">
        <f>IF($D73="Custom","",IFERROR(XLOOKUP($B73&amp;"|"&amp;$D73,ShiftKnowledge!$A$2:$A$9,ShiftKnowledge!$G$2:$G$9,""),IFERROR(INDEX(ShiftKnowledge!$G$2:$G$9,MATCH($B73&amp;"|"&amp;$D73,ShiftKnowledge!$A$2:$A$9,0)),"")))</f>
        <v/>
      </c>
      <c r="K73" s="4">
        <f>IF($D73="Custom","",IFERROR(XLOOKUP($B73&amp;"|"&amp;$D73,ShiftKnowledge!$A$2:$A$9,ShiftKnowledge!$H$2:$H$9,""),IFERROR(INDEX(ShiftKnowledge!$H$2:$H$9,MATCH($B73&amp;"|"&amp;$D73,ShiftKnowledge!$A$2:$A$9,0)),"")))</f>
        <v/>
      </c>
      <c r="L73" s="4">
        <f>IF($D73="Custom","",IFERROR(XLOOKUP($B73&amp;"|"&amp;$D73,ShiftKnowledge!$A$2:$A$9,ShiftKnowledge!$I$2:$I$9,""),IFERROR(INDEX(ShiftKnowledge!$I$2:$I$9,MATCH($B73&amp;"|"&amp;$D73,ShiftKnowledge!$A$2:$A$9,0)),"")))</f>
        <v/>
      </c>
      <c r="M73" s="4" t="inlineStr"/>
    </row>
    <row r="74" ht="20" customHeight="1">
      <c r="A74" s="6" t="inlineStr">
        <is>
          <t>09/11/2025</t>
        </is>
      </c>
      <c r="B74" s="6" t="inlineStr">
        <is>
          <t>Cardiology</t>
        </is>
      </c>
      <c r="C74" s="7" t="inlineStr">
        <is>
          <t>Dr. Moosa Manik</t>
        </is>
      </c>
      <c r="D74" s="6" t="inlineStr"/>
      <c r="E74" s="6">
        <f>IF($D74="Custom","",IFERROR(XLOOKUP($B74&amp;"|"&amp;$D74,ShiftKnowledge!$A$2:$A$9,ShiftKnowledge!$D$2:$D$9,""),IFERROR(INDEX(ShiftKnowledge!$D$2:$D$9,MATCH($B74&amp;"|"&amp;$D74,ShiftKnowledge!$A$2:$A$9,0)),"")))</f>
        <v/>
      </c>
      <c r="F74" s="6" t="inlineStr"/>
      <c r="G74" s="6">
        <f>IF(AND($I74="",$L74=""),"",IFERROR(VALUE($I74),0)+IFERROR(VALUE($L74),0))</f>
        <v/>
      </c>
      <c r="H74" s="6">
        <f>IF($D74="Custom","",IFERROR(XLOOKUP($B74&amp;"|"&amp;$D74,ShiftKnowledge!$A$2:$A$9,ShiftKnowledge!$E$2:$E$9,""),IFERROR(INDEX(ShiftKnowledge!$E$2:$E$9,MATCH($B74&amp;"|"&amp;$D74,ShiftKnowledge!$A$2:$A$9,0)),"")))</f>
        <v/>
      </c>
      <c r="I74" s="6">
        <f>IF($D74="Custom","",IFERROR(XLOOKUP($B74&amp;"|"&amp;$D74,ShiftKnowledge!$A$2:$A$9,ShiftKnowledge!$F$2:$F$9,""),IFERROR(INDEX(ShiftKnowledge!$F$2:$F$9,MATCH($B74&amp;"|"&amp;$D74,ShiftKnowledge!$A$2:$A$9,0)),"")))</f>
        <v/>
      </c>
      <c r="J74" s="6">
        <f>IF($D74="Custom","",IFERROR(XLOOKUP($B74&amp;"|"&amp;$D74,ShiftKnowledge!$A$2:$A$9,ShiftKnowledge!$G$2:$G$9,""),IFERROR(INDEX(ShiftKnowledge!$G$2:$G$9,MATCH($B74&amp;"|"&amp;$D74,ShiftKnowledge!$A$2:$A$9,0)),"")))</f>
        <v/>
      </c>
      <c r="K74" s="6">
        <f>IF($D74="Custom","",IFERROR(XLOOKUP($B74&amp;"|"&amp;$D74,ShiftKnowledge!$A$2:$A$9,ShiftKnowledge!$H$2:$H$9,""),IFERROR(INDEX(ShiftKnowledge!$H$2:$H$9,MATCH($B74&amp;"|"&amp;$D74,ShiftKnowledge!$A$2:$A$9,0)),"")))</f>
        <v/>
      </c>
      <c r="L74" s="6">
        <f>IF($D74="Custom","",IFERROR(XLOOKUP($B74&amp;"|"&amp;$D74,ShiftKnowledge!$A$2:$A$9,ShiftKnowledge!$I$2:$I$9,""),IFERROR(INDEX(ShiftKnowledge!$I$2:$I$9,MATCH($B74&amp;"|"&amp;$D74,ShiftKnowledge!$A$2:$A$9,0)),"")))</f>
        <v/>
      </c>
      <c r="M74" s="6" t="inlineStr"/>
    </row>
    <row r="75" ht="20" customHeight="1">
      <c r="A75" s="4" t="inlineStr">
        <is>
          <t>09/11/2025</t>
        </is>
      </c>
      <c r="B75" s="4" t="inlineStr">
        <is>
          <t>Nephrology</t>
        </is>
      </c>
      <c r="C75" s="5" t="inlineStr">
        <is>
          <t>Dr. Muhammad Mujtaba Ur Rehman</t>
        </is>
      </c>
      <c r="D75" s="4" t="inlineStr"/>
      <c r="E75" s="4">
        <f>IF($D75="Custom","",IFERROR(XLOOKUP($B75&amp;"|"&amp;$D75,ShiftKnowledge!$A$2:$A$9,ShiftKnowledge!$D$2:$D$9,""),IFERROR(INDEX(ShiftKnowledge!$D$2:$D$9,MATCH($B75&amp;"|"&amp;$D75,ShiftKnowledge!$A$2:$A$9,0)),"")))</f>
        <v/>
      </c>
      <c r="F75" s="4" t="inlineStr"/>
      <c r="G75" s="4">
        <f>IF(AND($I75="",$L75=""),"",IFERROR(VALUE($I75),0)+IFERROR(VALUE($L75),0))</f>
        <v/>
      </c>
      <c r="H75" s="4">
        <f>IF($D75="Custom","",IFERROR(XLOOKUP($B75&amp;"|"&amp;$D75,ShiftKnowledge!$A$2:$A$9,ShiftKnowledge!$E$2:$E$9,""),IFERROR(INDEX(ShiftKnowledge!$E$2:$E$9,MATCH($B75&amp;"|"&amp;$D75,ShiftKnowledge!$A$2:$A$9,0)),"")))</f>
        <v/>
      </c>
      <c r="I75" s="4">
        <f>IF($D75="Custom","",IFERROR(XLOOKUP($B75&amp;"|"&amp;$D75,ShiftKnowledge!$A$2:$A$9,ShiftKnowledge!$F$2:$F$9,""),IFERROR(INDEX(ShiftKnowledge!$F$2:$F$9,MATCH($B75&amp;"|"&amp;$D75,ShiftKnowledge!$A$2:$A$9,0)),"")))</f>
        <v/>
      </c>
      <c r="J75" s="4">
        <f>IF($D75="Custom","",IFERROR(XLOOKUP($B75&amp;"|"&amp;$D75,ShiftKnowledge!$A$2:$A$9,ShiftKnowledge!$G$2:$G$9,""),IFERROR(INDEX(ShiftKnowledge!$G$2:$G$9,MATCH($B75&amp;"|"&amp;$D75,ShiftKnowledge!$A$2:$A$9,0)),"")))</f>
        <v/>
      </c>
      <c r="K75" s="4">
        <f>IF($D75="Custom","",IFERROR(XLOOKUP($B75&amp;"|"&amp;$D75,ShiftKnowledge!$A$2:$A$9,ShiftKnowledge!$H$2:$H$9,""),IFERROR(INDEX(ShiftKnowledge!$H$2:$H$9,MATCH($B75&amp;"|"&amp;$D75,ShiftKnowledge!$A$2:$A$9,0)),"")))</f>
        <v/>
      </c>
      <c r="L75" s="4">
        <f>IF($D75="Custom","",IFERROR(XLOOKUP($B75&amp;"|"&amp;$D75,ShiftKnowledge!$A$2:$A$9,ShiftKnowledge!$I$2:$I$9,""),IFERROR(INDEX(ShiftKnowledge!$I$2:$I$9,MATCH($B75&amp;"|"&amp;$D75,ShiftKnowledge!$A$2:$A$9,0)),"")))</f>
        <v/>
      </c>
      <c r="M75" s="4" t="inlineStr"/>
    </row>
    <row r="76" ht="20" customHeight="1">
      <c r="A76" s="6" t="inlineStr">
        <is>
          <t>09/11/2025</t>
        </is>
      </c>
      <c r="B76" s="6" t="inlineStr">
        <is>
          <t>Ophthalmology</t>
        </is>
      </c>
      <c r="C76" s="7" t="inlineStr">
        <is>
          <t>Dr. Nafeesa Abdul Latheef</t>
        </is>
      </c>
      <c r="D76" s="6" t="inlineStr"/>
      <c r="E76" s="6">
        <f>IF($D76="Custom","",IFERROR(XLOOKUP($B76&amp;"|"&amp;$D76,ShiftKnowledge!$A$2:$A$9,ShiftKnowledge!$D$2:$D$9,""),IFERROR(INDEX(ShiftKnowledge!$D$2:$D$9,MATCH($B76&amp;"|"&amp;$D76,ShiftKnowledge!$A$2:$A$9,0)),"")))</f>
        <v/>
      </c>
      <c r="F76" s="6" t="inlineStr"/>
      <c r="G76" s="6">
        <f>IF(AND($I76="",$L76=""),"",IFERROR(VALUE($I76),0)+IFERROR(VALUE($L76),0))</f>
        <v/>
      </c>
      <c r="H76" s="6">
        <f>IF($D76="Custom","",IFERROR(XLOOKUP($B76&amp;"|"&amp;$D76,ShiftKnowledge!$A$2:$A$9,ShiftKnowledge!$E$2:$E$9,""),IFERROR(INDEX(ShiftKnowledge!$E$2:$E$9,MATCH($B76&amp;"|"&amp;$D76,ShiftKnowledge!$A$2:$A$9,0)),"")))</f>
        <v/>
      </c>
      <c r="I76" s="6">
        <f>IF($D76="Custom","",IFERROR(XLOOKUP($B76&amp;"|"&amp;$D76,ShiftKnowledge!$A$2:$A$9,ShiftKnowledge!$F$2:$F$9,""),IFERROR(INDEX(ShiftKnowledge!$F$2:$F$9,MATCH($B76&amp;"|"&amp;$D76,ShiftKnowledge!$A$2:$A$9,0)),"")))</f>
        <v/>
      </c>
      <c r="J76" s="6">
        <f>IF($D76="Custom","",IFERROR(XLOOKUP($B76&amp;"|"&amp;$D76,ShiftKnowledge!$A$2:$A$9,ShiftKnowledge!$G$2:$G$9,""),IFERROR(INDEX(ShiftKnowledge!$G$2:$G$9,MATCH($B76&amp;"|"&amp;$D76,ShiftKnowledge!$A$2:$A$9,0)),"")))</f>
        <v/>
      </c>
      <c r="K76" s="6">
        <f>IF($D76="Custom","",IFERROR(XLOOKUP($B76&amp;"|"&amp;$D76,ShiftKnowledge!$A$2:$A$9,ShiftKnowledge!$H$2:$H$9,""),IFERROR(INDEX(ShiftKnowledge!$H$2:$H$9,MATCH($B76&amp;"|"&amp;$D76,ShiftKnowledge!$A$2:$A$9,0)),"")))</f>
        <v/>
      </c>
      <c r="L76" s="6">
        <f>IF($D76="Custom","",IFERROR(XLOOKUP($B76&amp;"|"&amp;$D76,ShiftKnowledge!$A$2:$A$9,ShiftKnowledge!$I$2:$I$9,""),IFERROR(INDEX(ShiftKnowledge!$I$2:$I$9,MATCH($B76&amp;"|"&amp;$D76,ShiftKnowledge!$A$2:$A$9,0)),"")))</f>
        <v/>
      </c>
      <c r="M76" s="6" t="inlineStr"/>
    </row>
    <row r="77" ht="20" customHeight="1">
      <c r="A77" s="4" t="inlineStr">
        <is>
          <t>09/11/2025</t>
        </is>
      </c>
      <c r="B77" s="4" t="inlineStr">
        <is>
          <t>ENT</t>
        </is>
      </c>
      <c r="C77" s="5" t="inlineStr">
        <is>
          <t>Dr. Nishesh Raj Shrestha</t>
        </is>
      </c>
      <c r="D77" s="4" t="inlineStr"/>
      <c r="E77" s="4">
        <f>IF($D77="Custom","",IFERROR(XLOOKUP($B77&amp;"|"&amp;$D77,ShiftKnowledge!$A$2:$A$9,ShiftKnowledge!$D$2:$D$9,""),IFERROR(INDEX(ShiftKnowledge!$D$2:$D$9,MATCH($B77&amp;"|"&amp;$D77,ShiftKnowledge!$A$2:$A$9,0)),"")))</f>
        <v/>
      </c>
      <c r="F77" s="4" t="inlineStr"/>
      <c r="G77" s="4">
        <f>IF(AND($I77="",$L77=""),"",IFERROR(VALUE($I77),0)+IFERROR(VALUE($L77),0))</f>
        <v/>
      </c>
      <c r="H77" s="4">
        <f>IF($D77="Custom","",IFERROR(XLOOKUP($B77&amp;"|"&amp;$D77,ShiftKnowledge!$A$2:$A$9,ShiftKnowledge!$E$2:$E$9,""),IFERROR(INDEX(ShiftKnowledge!$E$2:$E$9,MATCH($B77&amp;"|"&amp;$D77,ShiftKnowledge!$A$2:$A$9,0)),"")))</f>
        <v/>
      </c>
      <c r="I77" s="4">
        <f>IF($D77="Custom","",IFERROR(XLOOKUP($B77&amp;"|"&amp;$D77,ShiftKnowledge!$A$2:$A$9,ShiftKnowledge!$F$2:$F$9,""),IFERROR(INDEX(ShiftKnowledge!$F$2:$F$9,MATCH($B77&amp;"|"&amp;$D77,ShiftKnowledge!$A$2:$A$9,0)),"")))</f>
        <v/>
      </c>
      <c r="J77" s="4">
        <f>IF($D77="Custom","",IFERROR(XLOOKUP($B77&amp;"|"&amp;$D77,ShiftKnowledge!$A$2:$A$9,ShiftKnowledge!$G$2:$G$9,""),IFERROR(INDEX(ShiftKnowledge!$G$2:$G$9,MATCH($B77&amp;"|"&amp;$D77,ShiftKnowledge!$A$2:$A$9,0)),"")))</f>
        <v/>
      </c>
      <c r="K77" s="4">
        <f>IF($D77="Custom","",IFERROR(XLOOKUP($B77&amp;"|"&amp;$D77,ShiftKnowledge!$A$2:$A$9,ShiftKnowledge!$H$2:$H$9,""),IFERROR(INDEX(ShiftKnowledge!$H$2:$H$9,MATCH($B77&amp;"|"&amp;$D77,ShiftKnowledge!$A$2:$A$9,0)),"")))</f>
        <v/>
      </c>
      <c r="L77" s="4">
        <f>IF($D77="Custom","",IFERROR(XLOOKUP($B77&amp;"|"&amp;$D77,ShiftKnowledge!$A$2:$A$9,ShiftKnowledge!$I$2:$I$9,""),IFERROR(INDEX(ShiftKnowledge!$I$2:$I$9,MATCH($B77&amp;"|"&amp;$D77,ShiftKnowledge!$A$2:$A$9,0)),"")))</f>
        <v/>
      </c>
      <c r="M77" s="4" t="inlineStr"/>
    </row>
    <row r="78" ht="20" customHeight="1">
      <c r="A78" s="6" t="inlineStr">
        <is>
          <t>09/11/2025</t>
        </is>
      </c>
      <c r="B78" s="6" t="inlineStr">
        <is>
          <t>ENT</t>
        </is>
      </c>
      <c r="C78" s="7" t="inlineStr">
        <is>
          <t>Dr. Rachit Pokharel</t>
        </is>
      </c>
      <c r="D78" s="6" t="inlineStr"/>
      <c r="E78" s="6">
        <f>IF($D78="Custom","",IFERROR(XLOOKUP($B78&amp;"|"&amp;$D78,ShiftKnowledge!$A$2:$A$9,ShiftKnowledge!$D$2:$D$9,""),IFERROR(INDEX(ShiftKnowledge!$D$2:$D$9,MATCH($B78&amp;"|"&amp;$D78,ShiftKnowledge!$A$2:$A$9,0)),"")))</f>
        <v/>
      </c>
      <c r="F78" s="6" t="inlineStr"/>
      <c r="G78" s="6">
        <f>IF(AND($I78="",$L78=""),"",IFERROR(VALUE($I78),0)+IFERROR(VALUE($L78),0))</f>
        <v/>
      </c>
      <c r="H78" s="6">
        <f>IF($D78="Custom","",IFERROR(XLOOKUP($B78&amp;"|"&amp;$D78,ShiftKnowledge!$A$2:$A$9,ShiftKnowledge!$E$2:$E$9,""),IFERROR(INDEX(ShiftKnowledge!$E$2:$E$9,MATCH($B78&amp;"|"&amp;$D78,ShiftKnowledge!$A$2:$A$9,0)),"")))</f>
        <v/>
      </c>
      <c r="I78" s="6">
        <f>IF($D78="Custom","",IFERROR(XLOOKUP($B78&amp;"|"&amp;$D78,ShiftKnowledge!$A$2:$A$9,ShiftKnowledge!$F$2:$F$9,""),IFERROR(INDEX(ShiftKnowledge!$F$2:$F$9,MATCH($B78&amp;"|"&amp;$D78,ShiftKnowledge!$A$2:$A$9,0)),"")))</f>
        <v/>
      </c>
      <c r="J78" s="6">
        <f>IF($D78="Custom","",IFERROR(XLOOKUP($B78&amp;"|"&amp;$D78,ShiftKnowledge!$A$2:$A$9,ShiftKnowledge!$G$2:$G$9,""),IFERROR(INDEX(ShiftKnowledge!$G$2:$G$9,MATCH($B78&amp;"|"&amp;$D78,ShiftKnowledge!$A$2:$A$9,0)),"")))</f>
        <v/>
      </c>
      <c r="K78" s="6">
        <f>IF($D78="Custom","",IFERROR(XLOOKUP($B78&amp;"|"&amp;$D78,ShiftKnowledge!$A$2:$A$9,ShiftKnowledge!$H$2:$H$9,""),IFERROR(INDEX(ShiftKnowledge!$H$2:$H$9,MATCH($B78&amp;"|"&amp;$D78,ShiftKnowledge!$A$2:$A$9,0)),"")))</f>
        <v/>
      </c>
      <c r="L78" s="6">
        <f>IF($D78="Custom","",IFERROR(XLOOKUP($B78&amp;"|"&amp;$D78,ShiftKnowledge!$A$2:$A$9,ShiftKnowledge!$I$2:$I$9,""),IFERROR(INDEX(ShiftKnowledge!$I$2:$I$9,MATCH($B78&amp;"|"&amp;$D78,ShiftKnowledge!$A$2:$A$9,0)),"")))</f>
        <v/>
      </c>
      <c r="M78" s="6" t="inlineStr"/>
    </row>
    <row r="79" ht="20" customHeight="1">
      <c r="A79" s="4" t="inlineStr">
        <is>
          <t>09/11/2025</t>
        </is>
      </c>
      <c r="B79" s="4" t="inlineStr">
        <is>
          <t>Ophthalmology</t>
        </is>
      </c>
      <c r="C79" s="5" t="inlineStr">
        <is>
          <t>Dr. Remon Girgis Lamee Girgis</t>
        </is>
      </c>
      <c r="D79" s="4" t="inlineStr"/>
      <c r="E79" s="4">
        <f>IF($D79="Custom","",IFERROR(XLOOKUP($B79&amp;"|"&amp;$D79,ShiftKnowledge!$A$2:$A$9,ShiftKnowledge!$D$2:$D$9,""),IFERROR(INDEX(ShiftKnowledge!$D$2:$D$9,MATCH($B79&amp;"|"&amp;$D79,ShiftKnowledge!$A$2:$A$9,0)),"")))</f>
        <v/>
      </c>
      <c r="F79" s="4" t="inlineStr"/>
      <c r="G79" s="4">
        <f>IF(AND($I79="",$L79=""),"",IFERROR(VALUE($I79),0)+IFERROR(VALUE($L79),0))</f>
        <v/>
      </c>
      <c r="H79" s="4">
        <f>IF($D79="Custom","",IFERROR(XLOOKUP($B79&amp;"|"&amp;$D79,ShiftKnowledge!$A$2:$A$9,ShiftKnowledge!$E$2:$E$9,""),IFERROR(INDEX(ShiftKnowledge!$E$2:$E$9,MATCH($B79&amp;"|"&amp;$D79,ShiftKnowledge!$A$2:$A$9,0)),"")))</f>
        <v/>
      </c>
      <c r="I79" s="4">
        <f>IF($D79="Custom","",IFERROR(XLOOKUP($B79&amp;"|"&amp;$D79,ShiftKnowledge!$A$2:$A$9,ShiftKnowledge!$F$2:$F$9,""),IFERROR(INDEX(ShiftKnowledge!$F$2:$F$9,MATCH($B79&amp;"|"&amp;$D79,ShiftKnowledge!$A$2:$A$9,0)),"")))</f>
        <v/>
      </c>
      <c r="J79" s="4">
        <f>IF($D79="Custom","",IFERROR(XLOOKUP($B79&amp;"|"&amp;$D79,ShiftKnowledge!$A$2:$A$9,ShiftKnowledge!$G$2:$G$9,""),IFERROR(INDEX(ShiftKnowledge!$G$2:$G$9,MATCH($B79&amp;"|"&amp;$D79,ShiftKnowledge!$A$2:$A$9,0)),"")))</f>
        <v/>
      </c>
      <c r="K79" s="4">
        <f>IF($D79="Custom","",IFERROR(XLOOKUP($B79&amp;"|"&amp;$D79,ShiftKnowledge!$A$2:$A$9,ShiftKnowledge!$H$2:$H$9,""),IFERROR(INDEX(ShiftKnowledge!$H$2:$H$9,MATCH($B79&amp;"|"&amp;$D79,ShiftKnowledge!$A$2:$A$9,0)),"")))</f>
        <v/>
      </c>
      <c r="L79" s="4">
        <f>IF($D79="Custom","",IFERROR(XLOOKUP($B79&amp;"|"&amp;$D79,ShiftKnowledge!$A$2:$A$9,ShiftKnowledge!$I$2:$I$9,""),IFERROR(INDEX(ShiftKnowledge!$I$2:$I$9,MATCH($B79&amp;"|"&amp;$D79,ShiftKnowledge!$A$2:$A$9,0)),"")))</f>
        <v/>
      </c>
      <c r="M79" s="4" t="inlineStr"/>
    </row>
    <row r="80" ht="20" customHeight="1">
      <c r="A80" s="6" t="inlineStr">
        <is>
          <t>09/11/2025</t>
        </is>
      </c>
      <c r="B80" s="6" t="inlineStr">
        <is>
          <t>Paediatrics</t>
        </is>
      </c>
      <c r="C80" s="7" t="inlineStr">
        <is>
          <t>Dr. Roshan Kumar Dikshit</t>
        </is>
      </c>
      <c r="D80" s="6" t="inlineStr"/>
      <c r="E80" s="6">
        <f>IF($D80="Custom","",IFERROR(XLOOKUP($B80&amp;"|"&amp;$D80,ShiftKnowledge!$A$2:$A$9,ShiftKnowledge!$D$2:$D$9,""),IFERROR(INDEX(ShiftKnowledge!$D$2:$D$9,MATCH($B80&amp;"|"&amp;$D80,ShiftKnowledge!$A$2:$A$9,0)),"")))</f>
        <v/>
      </c>
      <c r="F80" s="6" t="inlineStr"/>
      <c r="G80" s="6">
        <f>IF(AND($I80="",$L80=""),"",IFERROR(VALUE($I80),0)+IFERROR(VALUE($L80),0))</f>
        <v/>
      </c>
      <c r="H80" s="6">
        <f>IF($D80="Custom","",IFERROR(XLOOKUP($B80&amp;"|"&amp;$D80,ShiftKnowledge!$A$2:$A$9,ShiftKnowledge!$E$2:$E$9,""),IFERROR(INDEX(ShiftKnowledge!$E$2:$E$9,MATCH($B80&amp;"|"&amp;$D80,ShiftKnowledge!$A$2:$A$9,0)),"")))</f>
        <v/>
      </c>
      <c r="I80" s="6">
        <f>IF($D80="Custom","",IFERROR(XLOOKUP($B80&amp;"|"&amp;$D80,ShiftKnowledge!$A$2:$A$9,ShiftKnowledge!$F$2:$F$9,""),IFERROR(INDEX(ShiftKnowledge!$F$2:$F$9,MATCH($B80&amp;"|"&amp;$D80,ShiftKnowledge!$A$2:$A$9,0)),"")))</f>
        <v/>
      </c>
      <c r="J80" s="6">
        <f>IF($D80="Custom","",IFERROR(XLOOKUP($B80&amp;"|"&amp;$D80,ShiftKnowledge!$A$2:$A$9,ShiftKnowledge!$G$2:$G$9,""),IFERROR(INDEX(ShiftKnowledge!$G$2:$G$9,MATCH($B80&amp;"|"&amp;$D80,ShiftKnowledge!$A$2:$A$9,0)),"")))</f>
        <v/>
      </c>
      <c r="K80" s="6">
        <f>IF($D80="Custom","",IFERROR(XLOOKUP($B80&amp;"|"&amp;$D80,ShiftKnowledge!$A$2:$A$9,ShiftKnowledge!$H$2:$H$9,""),IFERROR(INDEX(ShiftKnowledge!$H$2:$H$9,MATCH($B80&amp;"|"&amp;$D80,ShiftKnowledge!$A$2:$A$9,0)),"")))</f>
        <v/>
      </c>
      <c r="L80" s="6">
        <f>IF($D80="Custom","",IFERROR(XLOOKUP($B80&amp;"|"&amp;$D80,ShiftKnowledge!$A$2:$A$9,ShiftKnowledge!$I$2:$I$9,""),IFERROR(INDEX(ShiftKnowledge!$I$2:$I$9,MATCH($B80&amp;"|"&amp;$D80,ShiftKnowledge!$A$2:$A$9,0)),"")))</f>
        <v/>
      </c>
      <c r="M80" s="6" t="inlineStr"/>
    </row>
    <row r="81" ht="20" customHeight="1">
      <c r="A81" s="4" t="inlineStr">
        <is>
          <t>09/11/2025</t>
        </is>
      </c>
      <c r="B81" s="4" t="inlineStr">
        <is>
          <t>Ophthalmology</t>
        </is>
      </c>
      <c r="C81" s="5" t="inlineStr">
        <is>
          <t>Dr. Roxy Devi Chirom</t>
        </is>
      </c>
      <c r="D81" s="4" t="inlineStr"/>
      <c r="E81" s="4">
        <f>IF($D81="Custom","",IFERROR(XLOOKUP($B81&amp;"|"&amp;$D81,ShiftKnowledge!$A$2:$A$9,ShiftKnowledge!$D$2:$D$9,""),IFERROR(INDEX(ShiftKnowledge!$D$2:$D$9,MATCH($B81&amp;"|"&amp;$D81,ShiftKnowledge!$A$2:$A$9,0)),"")))</f>
        <v/>
      </c>
      <c r="F81" s="4" t="inlineStr"/>
      <c r="G81" s="4">
        <f>IF(AND($I81="",$L81=""),"",IFERROR(VALUE($I81),0)+IFERROR(VALUE($L81),0))</f>
        <v/>
      </c>
      <c r="H81" s="4">
        <f>IF($D81="Custom","",IFERROR(XLOOKUP($B81&amp;"|"&amp;$D81,ShiftKnowledge!$A$2:$A$9,ShiftKnowledge!$E$2:$E$9,""),IFERROR(INDEX(ShiftKnowledge!$E$2:$E$9,MATCH($B81&amp;"|"&amp;$D81,ShiftKnowledge!$A$2:$A$9,0)),"")))</f>
        <v/>
      </c>
      <c r="I81" s="4">
        <f>IF($D81="Custom","",IFERROR(XLOOKUP($B81&amp;"|"&amp;$D81,ShiftKnowledge!$A$2:$A$9,ShiftKnowledge!$F$2:$F$9,""),IFERROR(INDEX(ShiftKnowledge!$F$2:$F$9,MATCH($B81&amp;"|"&amp;$D81,ShiftKnowledge!$A$2:$A$9,0)),"")))</f>
        <v/>
      </c>
      <c r="J81" s="4">
        <f>IF($D81="Custom","",IFERROR(XLOOKUP($B81&amp;"|"&amp;$D81,ShiftKnowledge!$A$2:$A$9,ShiftKnowledge!$G$2:$G$9,""),IFERROR(INDEX(ShiftKnowledge!$G$2:$G$9,MATCH($B81&amp;"|"&amp;$D81,ShiftKnowledge!$A$2:$A$9,0)),"")))</f>
        <v/>
      </c>
      <c r="K81" s="4">
        <f>IF($D81="Custom","",IFERROR(XLOOKUP($B81&amp;"|"&amp;$D81,ShiftKnowledge!$A$2:$A$9,ShiftKnowledge!$H$2:$H$9,""),IFERROR(INDEX(ShiftKnowledge!$H$2:$H$9,MATCH($B81&amp;"|"&amp;$D81,ShiftKnowledge!$A$2:$A$9,0)),"")))</f>
        <v/>
      </c>
      <c r="L81" s="4">
        <f>IF($D81="Custom","",IFERROR(XLOOKUP($B81&amp;"|"&amp;$D81,ShiftKnowledge!$A$2:$A$9,ShiftKnowledge!$I$2:$I$9,""),IFERROR(INDEX(ShiftKnowledge!$I$2:$I$9,MATCH($B81&amp;"|"&amp;$D81,ShiftKnowledge!$A$2:$A$9,0)),"")))</f>
        <v/>
      </c>
      <c r="M81" s="4" t="inlineStr"/>
    </row>
    <row r="82" ht="20" customHeight="1">
      <c r="A82" s="6" t="inlineStr">
        <is>
          <t>09/11/2025</t>
        </is>
      </c>
      <c r="B82" s="6" t="inlineStr">
        <is>
          <t>General Surgery</t>
        </is>
      </c>
      <c r="C82" s="7" t="inlineStr">
        <is>
          <t>Dr. Rubab Nafees</t>
        </is>
      </c>
      <c r="D82" s="6" t="inlineStr"/>
      <c r="E82" s="6">
        <f>IF($D82="Custom","",IFERROR(XLOOKUP($B82&amp;"|"&amp;$D82,ShiftKnowledge!$A$2:$A$9,ShiftKnowledge!$D$2:$D$9,""),IFERROR(INDEX(ShiftKnowledge!$D$2:$D$9,MATCH($B82&amp;"|"&amp;$D82,ShiftKnowledge!$A$2:$A$9,0)),"")))</f>
        <v/>
      </c>
      <c r="F82" s="6" t="inlineStr"/>
      <c r="G82" s="6">
        <f>IF(AND($I82="",$L82=""),"",IFERROR(VALUE($I82),0)+IFERROR(VALUE($L82),0))</f>
        <v/>
      </c>
      <c r="H82" s="6">
        <f>IF($D82="Custom","",IFERROR(XLOOKUP($B82&amp;"|"&amp;$D82,ShiftKnowledge!$A$2:$A$9,ShiftKnowledge!$E$2:$E$9,""),IFERROR(INDEX(ShiftKnowledge!$E$2:$E$9,MATCH($B82&amp;"|"&amp;$D82,ShiftKnowledge!$A$2:$A$9,0)),"")))</f>
        <v/>
      </c>
      <c r="I82" s="6">
        <f>IF($D82="Custom","",IFERROR(XLOOKUP($B82&amp;"|"&amp;$D82,ShiftKnowledge!$A$2:$A$9,ShiftKnowledge!$F$2:$F$9,""),IFERROR(INDEX(ShiftKnowledge!$F$2:$F$9,MATCH($B82&amp;"|"&amp;$D82,ShiftKnowledge!$A$2:$A$9,0)),"")))</f>
        <v/>
      </c>
      <c r="J82" s="6">
        <f>IF($D82="Custom","",IFERROR(XLOOKUP($B82&amp;"|"&amp;$D82,ShiftKnowledge!$A$2:$A$9,ShiftKnowledge!$G$2:$G$9,""),IFERROR(INDEX(ShiftKnowledge!$G$2:$G$9,MATCH($B82&amp;"|"&amp;$D82,ShiftKnowledge!$A$2:$A$9,0)),"")))</f>
        <v/>
      </c>
      <c r="K82" s="6">
        <f>IF($D82="Custom","",IFERROR(XLOOKUP($B82&amp;"|"&amp;$D82,ShiftKnowledge!$A$2:$A$9,ShiftKnowledge!$H$2:$H$9,""),IFERROR(INDEX(ShiftKnowledge!$H$2:$H$9,MATCH($B82&amp;"|"&amp;$D82,ShiftKnowledge!$A$2:$A$9,0)),"")))</f>
        <v/>
      </c>
      <c r="L82" s="6">
        <f>IF($D82="Custom","",IFERROR(XLOOKUP($B82&amp;"|"&amp;$D82,ShiftKnowledge!$A$2:$A$9,ShiftKnowledge!$I$2:$I$9,""),IFERROR(INDEX(ShiftKnowledge!$I$2:$I$9,MATCH($B82&amp;"|"&amp;$D82,ShiftKnowledge!$A$2:$A$9,0)),"")))</f>
        <v/>
      </c>
      <c r="M82" s="6" t="inlineStr"/>
    </row>
    <row r="83" ht="20" customHeight="1">
      <c r="A83" s="4" t="inlineStr">
        <is>
          <t>09/11/2025</t>
        </is>
      </c>
      <c r="B83" s="4" t="inlineStr">
        <is>
          <t>Gynaecology</t>
        </is>
      </c>
      <c r="C83" s="5" t="inlineStr">
        <is>
          <t>Dr. Rubeena Badar Khan</t>
        </is>
      </c>
      <c r="D83" s="4" t="inlineStr"/>
      <c r="E83" s="4">
        <f>IF($D83="Custom","",IFERROR(XLOOKUP($B83&amp;"|"&amp;$D83,ShiftKnowledge!$A$2:$A$9,ShiftKnowledge!$D$2:$D$9,""),IFERROR(INDEX(ShiftKnowledge!$D$2:$D$9,MATCH($B83&amp;"|"&amp;$D83,ShiftKnowledge!$A$2:$A$9,0)),"")))</f>
        <v/>
      </c>
      <c r="F83" s="4" t="inlineStr"/>
      <c r="G83" s="4">
        <f>IF(AND($I83="",$L83=""),"",IFERROR(VALUE($I83),0)+IFERROR(VALUE($L83),0))</f>
        <v/>
      </c>
      <c r="H83" s="4">
        <f>IF($D83="Custom","",IFERROR(XLOOKUP($B83&amp;"|"&amp;$D83,ShiftKnowledge!$A$2:$A$9,ShiftKnowledge!$E$2:$E$9,""),IFERROR(INDEX(ShiftKnowledge!$E$2:$E$9,MATCH($B83&amp;"|"&amp;$D83,ShiftKnowledge!$A$2:$A$9,0)),"")))</f>
        <v/>
      </c>
      <c r="I83" s="4">
        <f>IF($D83="Custom","",IFERROR(XLOOKUP($B83&amp;"|"&amp;$D83,ShiftKnowledge!$A$2:$A$9,ShiftKnowledge!$F$2:$F$9,""),IFERROR(INDEX(ShiftKnowledge!$F$2:$F$9,MATCH($B83&amp;"|"&amp;$D83,ShiftKnowledge!$A$2:$A$9,0)),"")))</f>
        <v/>
      </c>
      <c r="J83" s="4">
        <f>IF($D83="Custom","",IFERROR(XLOOKUP($B83&amp;"|"&amp;$D83,ShiftKnowledge!$A$2:$A$9,ShiftKnowledge!$G$2:$G$9,""),IFERROR(INDEX(ShiftKnowledge!$G$2:$G$9,MATCH($B83&amp;"|"&amp;$D83,ShiftKnowledge!$A$2:$A$9,0)),"")))</f>
        <v/>
      </c>
      <c r="K83" s="4">
        <f>IF($D83="Custom","",IFERROR(XLOOKUP($B83&amp;"|"&amp;$D83,ShiftKnowledge!$A$2:$A$9,ShiftKnowledge!$H$2:$H$9,""),IFERROR(INDEX(ShiftKnowledge!$H$2:$H$9,MATCH($B83&amp;"|"&amp;$D83,ShiftKnowledge!$A$2:$A$9,0)),"")))</f>
        <v/>
      </c>
      <c r="L83" s="4">
        <f>IF($D83="Custom","",IFERROR(XLOOKUP($B83&amp;"|"&amp;$D83,ShiftKnowledge!$A$2:$A$9,ShiftKnowledge!$I$2:$I$9,""),IFERROR(INDEX(ShiftKnowledge!$I$2:$I$9,MATCH($B83&amp;"|"&amp;$D83,ShiftKnowledge!$A$2:$A$9,0)),"")))</f>
        <v/>
      </c>
      <c r="M83" s="4" t="inlineStr"/>
    </row>
    <row r="84" ht="20" customHeight="1">
      <c r="A84" s="6" t="inlineStr">
        <is>
          <t>09/11/2025</t>
        </is>
      </c>
      <c r="B84" s="6" t="inlineStr">
        <is>
          <t>Dental</t>
        </is>
      </c>
      <c r="C84" s="7" t="inlineStr">
        <is>
          <t>Dr. Safa Abdul Gayyoom</t>
        </is>
      </c>
      <c r="D84" s="6" t="inlineStr"/>
      <c r="E84" s="6">
        <f>IF($D84="Custom","",IFERROR(XLOOKUP($B84&amp;"|"&amp;$D84,ShiftKnowledge!$A$2:$A$9,ShiftKnowledge!$D$2:$D$9,""),IFERROR(INDEX(ShiftKnowledge!$D$2:$D$9,MATCH($B84&amp;"|"&amp;$D84,ShiftKnowledge!$A$2:$A$9,0)),"")))</f>
        <v/>
      </c>
      <c r="F84" s="6" t="inlineStr"/>
      <c r="G84" s="6">
        <f>IF(AND($I84="",$L84=""),"",IFERROR(VALUE($I84),0)+IFERROR(VALUE($L84),0))</f>
        <v/>
      </c>
      <c r="H84" s="6">
        <f>IF($D84="Custom","",IFERROR(XLOOKUP($B84&amp;"|"&amp;$D84,ShiftKnowledge!$A$2:$A$9,ShiftKnowledge!$E$2:$E$9,""),IFERROR(INDEX(ShiftKnowledge!$E$2:$E$9,MATCH($B84&amp;"|"&amp;$D84,ShiftKnowledge!$A$2:$A$9,0)),"")))</f>
        <v/>
      </c>
      <c r="I84" s="6">
        <f>IF($D84="Custom","",IFERROR(XLOOKUP($B84&amp;"|"&amp;$D84,ShiftKnowledge!$A$2:$A$9,ShiftKnowledge!$F$2:$F$9,""),IFERROR(INDEX(ShiftKnowledge!$F$2:$F$9,MATCH($B84&amp;"|"&amp;$D84,ShiftKnowledge!$A$2:$A$9,0)),"")))</f>
        <v/>
      </c>
      <c r="J84" s="6">
        <f>IF($D84="Custom","",IFERROR(XLOOKUP($B84&amp;"|"&amp;$D84,ShiftKnowledge!$A$2:$A$9,ShiftKnowledge!$G$2:$G$9,""),IFERROR(INDEX(ShiftKnowledge!$G$2:$G$9,MATCH($B84&amp;"|"&amp;$D84,ShiftKnowledge!$A$2:$A$9,0)),"")))</f>
        <v/>
      </c>
      <c r="K84" s="6">
        <f>IF($D84="Custom","",IFERROR(XLOOKUP($B84&amp;"|"&amp;$D84,ShiftKnowledge!$A$2:$A$9,ShiftKnowledge!$H$2:$H$9,""),IFERROR(INDEX(ShiftKnowledge!$H$2:$H$9,MATCH($B84&amp;"|"&amp;$D84,ShiftKnowledge!$A$2:$A$9,0)),"")))</f>
        <v/>
      </c>
      <c r="L84" s="6">
        <f>IF($D84="Custom","",IFERROR(XLOOKUP($B84&amp;"|"&amp;$D84,ShiftKnowledge!$A$2:$A$9,ShiftKnowledge!$I$2:$I$9,""),IFERROR(INDEX(ShiftKnowledge!$I$2:$I$9,MATCH($B84&amp;"|"&amp;$D84,ShiftKnowledge!$A$2:$A$9,0)),"")))</f>
        <v/>
      </c>
      <c r="M84" s="6" t="inlineStr"/>
    </row>
    <row r="85" ht="20" customHeight="1">
      <c r="A85" s="4" t="inlineStr">
        <is>
          <t>09/11/2025</t>
        </is>
      </c>
      <c r="B85" s="4" t="inlineStr">
        <is>
          <t>Internal Medicine</t>
        </is>
      </c>
      <c r="C85" s="5" t="inlineStr">
        <is>
          <t>Dr. Saroj Thapa</t>
        </is>
      </c>
      <c r="D85" s="4" t="inlineStr"/>
      <c r="E85" s="4">
        <f>IF($D85="Custom","",IFERROR(XLOOKUP($B85&amp;"|"&amp;$D85,ShiftKnowledge!$A$2:$A$9,ShiftKnowledge!$D$2:$D$9,""),IFERROR(INDEX(ShiftKnowledge!$D$2:$D$9,MATCH($B85&amp;"|"&amp;$D85,ShiftKnowledge!$A$2:$A$9,0)),"")))</f>
        <v/>
      </c>
      <c r="F85" s="4" t="inlineStr"/>
      <c r="G85" s="4">
        <f>IF(AND($I85="",$L85=""),"",IFERROR(VALUE($I85),0)+IFERROR(VALUE($L85),0))</f>
        <v/>
      </c>
      <c r="H85" s="4">
        <f>IF($D85="Custom","",IFERROR(XLOOKUP($B85&amp;"|"&amp;$D85,ShiftKnowledge!$A$2:$A$9,ShiftKnowledge!$E$2:$E$9,""),IFERROR(INDEX(ShiftKnowledge!$E$2:$E$9,MATCH($B85&amp;"|"&amp;$D85,ShiftKnowledge!$A$2:$A$9,0)),"")))</f>
        <v/>
      </c>
      <c r="I85" s="4">
        <f>IF($D85="Custom","",IFERROR(XLOOKUP($B85&amp;"|"&amp;$D85,ShiftKnowledge!$A$2:$A$9,ShiftKnowledge!$F$2:$F$9,""),IFERROR(INDEX(ShiftKnowledge!$F$2:$F$9,MATCH($B85&amp;"|"&amp;$D85,ShiftKnowledge!$A$2:$A$9,0)),"")))</f>
        <v/>
      </c>
      <c r="J85" s="4">
        <f>IF($D85="Custom","",IFERROR(XLOOKUP($B85&amp;"|"&amp;$D85,ShiftKnowledge!$A$2:$A$9,ShiftKnowledge!$G$2:$G$9,""),IFERROR(INDEX(ShiftKnowledge!$G$2:$G$9,MATCH($B85&amp;"|"&amp;$D85,ShiftKnowledge!$A$2:$A$9,0)),"")))</f>
        <v/>
      </c>
      <c r="K85" s="4">
        <f>IF($D85="Custom","",IFERROR(XLOOKUP($B85&amp;"|"&amp;$D85,ShiftKnowledge!$A$2:$A$9,ShiftKnowledge!$H$2:$H$9,""),IFERROR(INDEX(ShiftKnowledge!$H$2:$H$9,MATCH($B85&amp;"|"&amp;$D85,ShiftKnowledge!$A$2:$A$9,0)),"")))</f>
        <v/>
      </c>
      <c r="L85" s="4">
        <f>IF($D85="Custom","",IFERROR(XLOOKUP($B85&amp;"|"&amp;$D85,ShiftKnowledge!$A$2:$A$9,ShiftKnowledge!$I$2:$I$9,""),IFERROR(INDEX(ShiftKnowledge!$I$2:$I$9,MATCH($B85&amp;"|"&amp;$D85,ShiftKnowledge!$A$2:$A$9,0)),"")))</f>
        <v/>
      </c>
      <c r="M85" s="4" t="inlineStr"/>
    </row>
    <row r="86" ht="20" customHeight="1">
      <c r="A86" s="6" t="inlineStr">
        <is>
          <t>09/11/2025</t>
        </is>
      </c>
      <c r="B86" s="6" t="inlineStr">
        <is>
          <t>General Surgery</t>
        </is>
      </c>
      <c r="C86" s="7" t="inlineStr">
        <is>
          <t>Dr. Su Mon Kyaw</t>
        </is>
      </c>
      <c r="D86" s="6" t="inlineStr"/>
      <c r="E86" s="6">
        <f>IF($D86="Custom","",IFERROR(XLOOKUP($B86&amp;"|"&amp;$D86,ShiftKnowledge!$A$2:$A$9,ShiftKnowledge!$D$2:$D$9,""),IFERROR(INDEX(ShiftKnowledge!$D$2:$D$9,MATCH($B86&amp;"|"&amp;$D86,ShiftKnowledge!$A$2:$A$9,0)),"")))</f>
        <v/>
      </c>
      <c r="F86" s="6" t="inlineStr"/>
      <c r="G86" s="6">
        <f>IF(AND($I86="",$L86=""),"",IFERROR(VALUE($I86),0)+IFERROR(VALUE($L86),0))</f>
        <v/>
      </c>
      <c r="H86" s="6">
        <f>IF($D86="Custom","",IFERROR(XLOOKUP($B86&amp;"|"&amp;$D86,ShiftKnowledge!$A$2:$A$9,ShiftKnowledge!$E$2:$E$9,""),IFERROR(INDEX(ShiftKnowledge!$E$2:$E$9,MATCH($B86&amp;"|"&amp;$D86,ShiftKnowledge!$A$2:$A$9,0)),"")))</f>
        <v/>
      </c>
      <c r="I86" s="6">
        <f>IF($D86="Custom","",IFERROR(XLOOKUP($B86&amp;"|"&amp;$D86,ShiftKnowledge!$A$2:$A$9,ShiftKnowledge!$F$2:$F$9,""),IFERROR(INDEX(ShiftKnowledge!$F$2:$F$9,MATCH($B86&amp;"|"&amp;$D86,ShiftKnowledge!$A$2:$A$9,0)),"")))</f>
        <v/>
      </c>
      <c r="J86" s="6">
        <f>IF($D86="Custom","",IFERROR(XLOOKUP($B86&amp;"|"&amp;$D86,ShiftKnowledge!$A$2:$A$9,ShiftKnowledge!$G$2:$G$9,""),IFERROR(INDEX(ShiftKnowledge!$G$2:$G$9,MATCH($B86&amp;"|"&amp;$D86,ShiftKnowledge!$A$2:$A$9,0)),"")))</f>
        <v/>
      </c>
      <c r="K86" s="6">
        <f>IF($D86="Custom","",IFERROR(XLOOKUP($B86&amp;"|"&amp;$D86,ShiftKnowledge!$A$2:$A$9,ShiftKnowledge!$H$2:$H$9,""),IFERROR(INDEX(ShiftKnowledge!$H$2:$H$9,MATCH($B86&amp;"|"&amp;$D86,ShiftKnowledge!$A$2:$A$9,0)),"")))</f>
        <v/>
      </c>
      <c r="L86" s="6">
        <f>IF($D86="Custom","",IFERROR(XLOOKUP($B86&amp;"|"&amp;$D86,ShiftKnowledge!$A$2:$A$9,ShiftKnowledge!$I$2:$I$9,""),IFERROR(INDEX(ShiftKnowledge!$I$2:$I$9,MATCH($B86&amp;"|"&amp;$D86,ShiftKnowledge!$A$2:$A$9,0)),"")))</f>
        <v/>
      </c>
      <c r="M86" s="6" t="inlineStr"/>
    </row>
    <row r="87" ht="20" customHeight="1">
      <c r="A87" s="4" t="inlineStr">
        <is>
          <t>09/11/2025</t>
        </is>
      </c>
      <c r="B87" s="4" t="inlineStr">
        <is>
          <t>Internal Medicine</t>
        </is>
      </c>
      <c r="C87" s="5" t="inlineStr">
        <is>
          <t>Dr. Sumretee</t>
        </is>
      </c>
      <c r="D87" s="4" t="inlineStr"/>
      <c r="E87" s="4">
        <f>IF($D87="Custom","",IFERROR(XLOOKUP($B87&amp;"|"&amp;$D87,ShiftKnowledge!$A$2:$A$9,ShiftKnowledge!$D$2:$D$9,""),IFERROR(INDEX(ShiftKnowledge!$D$2:$D$9,MATCH($B87&amp;"|"&amp;$D87,ShiftKnowledge!$A$2:$A$9,0)),"")))</f>
        <v/>
      </c>
      <c r="F87" s="4" t="inlineStr"/>
      <c r="G87" s="4">
        <f>IF(AND($I87="",$L87=""),"",IFERROR(VALUE($I87),0)+IFERROR(VALUE($L87),0))</f>
        <v/>
      </c>
      <c r="H87" s="4">
        <f>IF($D87="Custom","",IFERROR(XLOOKUP($B87&amp;"|"&amp;$D87,ShiftKnowledge!$A$2:$A$9,ShiftKnowledge!$E$2:$E$9,""),IFERROR(INDEX(ShiftKnowledge!$E$2:$E$9,MATCH($B87&amp;"|"&amp;$D87,ShiftKnowledge!$A$2:$A$9,0)),"")))</f>
        <v/>
      </c>
      <c r="I87" s="4">
        <f>IF($D87="Custom","",IFERROR(XLOOKUP($B87&amp;"|"&amp;$D87,ShiftKnowledge!$A$2:$A$9,ShiftKnowledge!$F$2:$F$9,""),IFERROR(INDEX(ShiftKnowledge!$F$2:$F$9,MATCH($B87&amp;"|"&amp;$D87,ShiftKnowledge!$A$2:$A$9,0)),"")))</f>
        <v/>
      </c>
      <c r="J87" s="4">
        <f>IF($D87="Custom","",IFERROR(XLOOKUP($B87&amp;"|"&amp;$D87,ShiftKnowledge!$A$2:$A$9,ShiftKnowledge!$G$2:$G$9,""),IFERROR(INDEX(ShiftKnowledge!$G$2:$G$9,MATCH($B87&amp;"|"&amp;$D87,ShiftKnowledge!$A$2:$A$9,0)),"")))</f>
        <v/>
      </c>
      <c r="K87" s="4">
        <f>IF($D87="Custom","",IFERROR(XLOOKUP($B87&amp;"|"&amp;$D87,ShiftKnowledge!$A$2:$A$9,ShiftKnowledge!$H$2:$H$9,""),IFERROR(INDEX(ShiftKnowledge!$H$2:$H$9,MATCH($B87&amp;"|"&amp;$D87,ShiftKnowledge!$A$2:$A$9,0)),"")))</f>
        <v/>
      </c>
      <c r="L87" s="4">
        <f>IF($D87="Custom","",IFERROR(XLOOKUP($B87&amp;"|"&amp;$D87,ShiftKnowledge!$A$2:$A$9,ShiftKnowledge!$I$2:$I$9,""),IFERROR(INDEX(ShiftKnowledge!$I$2:$I$9,MATCH($B87&amp;"|"&amp;$D87,ShiftKnowledge!$A$2:$A$9,0)),"")))</f>
        <v/>
      </c>
      <c r="M87" s="4" t="inlineStr"/>
    </row>
    <row r="88" ht="20" customHeight="1">
      <c r="A88" s="6" t="inlineStr">
        <is>
          <t>09/11/2025</t>
        </is>
      </c>
      <c r="B88" s="6" t="inlineStr">
        <is>
          <t>Orthopaedics</t>
        </is>
      </c>
      <c r="C88" s="7" t="inlineStr">
        <is>
          <t>Dr. Vinod Ramlal</t>
        </is>
      </c>
      <c r="D88" s="6" t="inlineStr"/>
      <c r="E88" s="6">
        <f>IF($D88="Custom","",IFERROR(XLOOKUP($B88&amp;"|"&amp;$D88,ShiftKnowledge!$A$2:$A$9,ShiftKnowledge!$D$2:$D$9,""),IFERROR(INDEX(ShiftKnowledge!$D$2:$D$9,MATCH($B88&amp;"|"&amp;$D88,ShiftKnowledge!$A$2:$A$9,0)),"")))</f>
        <v/>
      </c>
      <c r="F88" s="6" t="inlineStr"/>
      <c r="G88" s="6">
        <f>IF(AND($I88="",$L88=""),"",IFERROR(VALUE($I88),0)+IFERROR(VALUE($L88),0))</f>
        <v/>
      </c>
      <c r="H88" s="6">
        <f>IF($D88="Custom","",IFERROR(XLOOKUP($B88&amp;"|"&amp;$D88,ShiftKnowledge!$A$2:$A$9,ShiftKnowledge!$E$2:$E$9,""),IFERROR(INDEX(ShiftKnowledge!$E$2:$E$9,MATCH($B88&amp;"|"&amp;$D88,ShiftKnowledge!$A$2:$A$9,0)),"")))</f>
        <v/>
      </c>
      <c r="I88" s="6">
        <f>IF($D88="Custom","",IFERROR(XLOOKUP($B88&amp;"|"&amp;$D88,ShiftKnowledge!$A$2:$A$9,ShiftKnowledge!$F$2:$F$9,""),IFERROR(INDEX(ShiftKnowledge!$F$2:$F$9,MATCH($B88&amp;"|"&amp;$D88,ShiftKnowledge!$A$2:$A$9,0)),"")))</f>
        <v/>
      </c>
      <c r="J88" s="6">
        <f>IF($D88="Custom","",IFERROR(XLOOKUP($B88&amp;"|"&amp;$D88,ShiftKnowledge!$A$2:$A$9,ShiftKnowledge!$G$2:$G$9,""),IFERROR(INDEX(ShiftKnowledge!$G$2:$G$9,MATCH($B88&amp;"|"&amp;$D88,ShiftKnowledge!$A$2:$A$9,0)),"")))</f>
        <v/>
      </c>
      <c r="K88" s="6">
        <f>IF($D88="Custom","",IFERROR(XLOOKUP($B88&amp;"|"&amp;$D88,ShiftKnowledge!$A$2:$A$9,ShiftKnowledge!$H$2:$H$9,""),IFERROR(INDEX(ShiftKnowledge!$H$2:$H$9,MATCH($B88&amp;"|"&amp;$D88,ShiftKnowledge!$A$2:$A$9,0)),"")))</f>
        <v/>
      </c>
      <c r="L88" s="6">
        <f>IF($D88="Custom","",IFERROR(XLOOKUP($B88&amp;"|"&amp;$D88,ShiftKnowledge!$A$2:$A$9,ShiftKnowledge!$I$2:$I$9,""),IFERROR(INDEX(ShiftKnowledge!$I$2:$I$9,MATCH($B88&amp;"|"&amp;$D88,ShiftKnowledge!$A$2:$A$9,0)),"")))</f>
        <v/>
      </c>
      <c r="M88" s="6" t="inlineStr"/>
    </row>
    <row r="89" ht="20" customHeight="1">
      <c r="A89" s="4" t="inlineStr">
        <is>
          <t>09/11/2025</t>
        </is>
      </c>
      <c r="B89" s="4" t="inlineStr">
        <is>
          <t>Paediatrics</t>
        </is>
      </c>
      <c r="C89" s="5" t="inlineStr">
        <is>
          <t>Dr. Yi Nwe Soe</t>
        </is>
      </c>
      <c r="D89" s="4" t="inlineStr"/>
      <c r="E89" s="4">
        <f>IF($D89="Custom","",IFERROR(XLOOKUP($B89&amp;"|"&amp;$D89,ShiftKnowledge!$A$2:$A$9,ShiftKnowledge!$D$2:$D$9,""),IFERROR(INDEX(ShiftKnowledge!$D$2:$D$9,MATCH($B89&amp;"|"&amp;$D89,ShiftKnowledge!$A$2:$A$9,0)),"")))</f>
        <v/>
      </c>
      <c r="F89" s="4" t="inlineStr"/>
      <c r="G89" s="4">
        <f>IF(AND($I89="",$L89=""),"",IFERROR(VALUE($I89),0)+IFERROR(VALUE($L89),0))</f>
        <v/>
      </c>
      <c r="H89" s="4">
        <f>IF($D89="Custom","",IFERROR(XLOOKUP($B89&amp;"|"&amp;$D89,ShiftKnowledge!$A$2:$A$9,ShiftKnowledge!$E$2:$E$9,""),IFERROR(INDEX(ShiftKnowledge!$E$2:$E$9,MATCH($B89&amp;"|"&amp;$D89,ShiftKnowledge!$A$2:$A$9,0)),"")))</f>
        <v/>
      </c>
      <c r="I89" s="4">
        <f>IF($D89="Custom","",IFERROR(XLOOKUP($B89&amp;"|"&amp;$D89,ShiftKnowledge!$A$2:$A$9,ShiftKnowledge!$F$2:$F$9,""),IFERROR(INDEX(ShiftKnowledge!$F$2:$F$9,MATCH($B89&amp;"|"&amp;$D89,ShiftKnowledge!$A$2:$A$9,0)),"")))</f>
        <v/>
      </c>
      <c r="J89" s="4">
        <f>IF($D89="Custom","",IFERROR(XLOOKUP($B89&amp;"|"&amp;$D89,ShiftKnowledge!$A$2:$A$9,ShiftKnowledge!$G$2:$G$9,""),IFERROR(INDEX(ShiftKnowledge!$G$2:$G$9,MATCH($B89&amp;"|"&amp;$D89,ShiftKnowledge!$A$2:$A$9,0)),"")))</f>
        <v/>
      </c>
      <c r="K89" s="4">
        <f>IF($D89="Custom","",IFERROR(XLOOKUP($B89&amp;"|"&amp;$D89,ShiftKnowledge!$A$2:$A$9,ShiftKnowledge!$H$2:$H$9,""),IFERROR(INDEX(ShiftKnowledge!$H$2:$H$9,MATCH($B89&amp;"|"&amp;$D89,ShiftKnowledge!$A$2:$A$9,0)),"")))</f>
        <v/>
      </c>
      <c r="L89" s="4">
        <f>IF($D89="Custom","",IFERROR(XLOOKUP($B89&amp;"|"&amp;$D89,ShiftKnowledge!$A$2:$A$9,ShiftKnowledge!$I$2:$I$9,""),IFERROR(INDEX(ShiftKnowledge!$I$2:$I$9,MATCH($B89&amp;"|"&amp;$D89,ShiftKnowledge!$A$2:$A$9,0)),"")))</f>
        <v/>
      </c>
      <c r="M89" s="4" t="inlineStr"/>
    </row>
    <row r="90" ht="20" customHeight="1">
      <c r="A90" s="6" t="inlineStr">
        <is>
          <t>09/11/2025</t>
        </is>
      </c>
      <c r="B90" s="6" t="inlineStr">
        <is>
          <t>Gynaecology</t>
        </is>
      </c>
      <c r="C90" s="7" t="inlineStr">
        <is>
          <t>Dr. Zarina Kabilova</t>
        </is>
      </c>
      <c r="D90" s="6" t="inlineStr"/>
      <c r="E90" s="6">
        <f>IF($D90="Custom","",IFERROR(XLOOKUP($B90&amp;"|"&amp;$D90,ShiftKnowledge!$A$2:$A$9,ShiftKnowledge!$D$2:$D$9,""),IFERROR(INDEX(ShiftKnowledge!$D$2:$D$9,MATCH($B90&amp;"|"&amp;$D90,ShiftKnowledge!$A$2:$A$9,0)),"")))</f>
        <v/>
      </c>
      <c r="F90" s="6" t="inlineStr"/>
      <c r="G90" s="6">
        <f>IF(AND($I90="",$L90=""),"",IFERROR(VALUE($I90),0)+IFERROR(VALUE($L90),0))</f>
        <v/>
      </c>
      <c r="H90" s="6">
        <f>IF($D90="Custom","",IFERROR(XLOOKUP($B90&amp;"|"&amp;$D90,ShiftKnowledge!$A$2:$A$9,ShiftKnowledge!$E$2:$E$9,""),IFERROR(INDEX(ShiftKnowledge!$E$2:$E$9,MATCH($B90&amp;"|"&amp;$D90,ShiftKnowledge!$A$2:$A$9,0)),"")))</f>
        <v/>
      </c>
      <c r="I90" s="6">
        <f>IF($D90="Custom","",IFERROR(XLOOKUP($B90&amp;"|"&amp;$D90,ShiftKnowledge!$A$2:$A$9,ShiftKnowledge!$F$2:$F$9,""),IFERROR(INDEX(ShiftKnowledge!$F$2:$F$9,MATCH($B90&amp;"|"&amp;$D90,ShiftKnowledge!$A$2:$A$9,0)),"")))</f>
        <v/>
      </c>
      <c r="J90" s="6">
        <f>IF($D90="Custom","",IFERROR(XLOOKUP($B90&amp;"|"&amp;$D90,ShiftKnowledge!$A$2:$A$9,ShiftKnowledge!$G$2:$G$9,""),IFERROR(INDEX(ShiftKnowledge!$G$2:$G$9,MATCH($B90&amp;"|"&amp;$D90,ShiftKnowledge!$A$2:$A$9,0)),"")))</f>
        <v/>
      </c>
      <c r="K90" s="6">
        <f>IF($D90="Custom","",IFERROR(XLOOKUP($B90&amp;"|"&amp;$D90,ShiftKnowledge!$A$2:$A$9,ShiftKnowledge!$H$2:$H$9,""),IFERROR(INDEX(ShiftKnowledge!$H$2:$H$9,MATCH($B90&amp;"|"&amp;$D90,ShiftKnowledge!$A$2:$A$9,0)),"")))</f>
        <v/>
      </c>
      <c r="L90" s="6">
        <f>IF($D90="Custom","",IFERROR(XLOOKUP($B90&amp;"|"&amp;$D90,ShiftKnowledge!$A$2:$A$9,ShiftKnowledge!$I$2:$I$9,""),IFERROR(INDEX(ShiftKnowledge!$I$2:$I$9,MATCH($B90&amp;"|"&amp;$D90,ShiftKnowledge!$A$2:$A$9,0)),"")))</f>
        <v/>
      </c>
      <c r="M90" s="6" t="inlineStr"/>
    </row>
    <row r="91" ht="20" customHeight="1">
      <c r="A91" s="4" t="inlineStr">
        <is>
          <t>10/11/2025</t>
        </is>
      </c>
      <c r="B91" s="4" t="inlineStr">
        <is>
          <t>Orthopaedics</t>
        </is>
      </c>
      <c r="C91" s="5" t="inlineStr">
        <is>
          <t>Dr. Ahmed Azim Abdul Shakoor</t>
        </is>
      </c>
      <c r="D91" s="4" t="inlineStr"/>
      <c r="E91" s="4">
        <f>IF($D91="Custom","",IFERROR(XLOOKUP($B91&amp;"|"&amp;$D91,ShiftKnowledge!$A$2:$A$9,ShiftKnowledge!$D$2:$D$9,""),IFERROR(INDEX(ShiftKnowledge!$D$2:$D$9,MATCH($B91&amp;"|"&amp;$D91,ShiftKnowledge!$A$2:$A$9,0)),"")))</f>
        <v/>
      </c>
      <c r="F91" s="4" t="inlineStr"/>
      <c r="G91" s="4">
        <f>IF(AND($I91="",$L91=""),"",IFERROR(VALUE($I91),0)+IFERROR(VALUE($L91),0))</f>
        <v/>
      </c>
      <c r="H91" s="4">
        <f>IF($D91="Custom","",IFERROR(XLOOKUP($B91&amp;"|"&amp;$D91,ShiftKnowledge!$A$2:$A$9,ShiftKnowledge!$E$2:$E$9,""),IFERROR(INDEX(ShiftKnowledge!$E$2:$E$9,MATCH($B91&amp;"|"&amp;$D91,ShiftKnowledge!$A$2:$A$9,0)),"")))</f>
        <v/>
      </c>
      <c r="I91" s="4">
        <f>IF($D91="Custom","",IFERROR(XLOOKUP($B91&amp;"|"&amp;$D91,ShiftKnowledge!$A$2:$A$9,ShiftKnowledge!$F$2:$F$9,""),IFERROR(INDEX(ShiftKnowledge!$F$2:$F$9,MATCH($B91&amp;"|"&amp;$D91,ShiftKnowledge!$A$2:$A$9,0)),"")))</f>
        <v/>
      </c>
      <c r="J91" s="4">
        <f>IF($D91="Custom","",IFERROR(XLOOKUP($B91&amp;"|"&amp;$D91,ShiftKnowledge!$A$2:$A$9,ShiftKnowledge!$G$2:$G$9,""),IFERROR(INDEX(ShiftKnowledge!$G$2:$G$9,MATCH($B91&amp;"|"&amp;$D91,ShiftKnowledge!$A$2:$A$9,0)),"")))</f>
        <v/>
      </c>
      <c r="K91" s="4">
        <f>IF($D91="Custom","",IFERROR(XLOOKUP($B91&amp;"|"&amp;$D91,ShiftKnowledge!$A$2:$A$9,ShiftKnowledge!$H$2:$H$9,""),IFERROR(INDEX(ShiftKnowledge!$H$2:$H$9,MATCH($B91&amp;"|"&amp;$D91,ShiftKnowledge!$A$2:$A$9,0)),"")))</f>
        <v/>
      </c>
      <c r="L91" s="4">
        <f>IF($D91="Custom","",IFERROR(XLOOKUP($B91&amp;"|"&amp;$D91,ShiftKnowledge!$A$2:$A$9,ShiftKnowledge!$I$2:$I$9,""),IFERROR(INDEX(ShiftKnowledge!$I$2:$I$9,MATCH($B91&amp;"|"&amp;$D91,ShiftKnowledge!$A$2:$A$9,0)),"")))</f>
        <v/>
      </c>
      <c r="M91" s="4" t="inlineStr"/>
    </row>
    <row r="92" ht="20" customHeight="1">
      <c r="A92" s="6" t="inlineStr">
        <is>
          <t>10/11/2025</t>
        </is>
      </c>
      <c r="B92" s="6" t="inlineStr">
        <is>
          <t>Dermatology</t>
        </is>
      </c>
      <c r="C92" s="7" t="inlineStr">
        <is>
          <t>Dr. Ahmed Fekry Bahyeldin Khalafallah</t>
        </is>
      </c>
      <c r="D92" s="6" t="inlineStr"/>
      <c r="E92" s="6">
        <f>IF($D92="Custom","",IFERROR(XLOOKUP($B92&amp;"|"&amp;$D92,ShiftKnowledge!$A$2:$A$9,ShiftKnowledge!$D$2:$D$9,""),IFERROR(INDEX(ShiftKnowledge!$D$2:$D$9,MATCH($B92&amp;"|"&amp;$D92,ShiftKnowledge!$A$2:$A$9,0)),"")))</f>
        <v/>
      </c>
      <c r="F92" s="6" t="inlineStr"/>
      <c r="G92" s="6">
        <f>IF(AND($I92="",$L92=""),"",IFERROR(VALUE($I92),0)+IFERROR(VALUE($L92),0))</f>
        <v/>
      </c>
      <c r="H92" s="6">
        <f>IF($D92="Custom","",IFERROR(XLOOKUP($B92&amp;"|"&amp;$D92,ShiftKnowledge!$A$2:$A$9,ShiftKnowledge!$E$2:$E$9,""),IFERROR(INDEX(ShiftKnowledge!$E$2:$E$9,MATCH($B92&amp;"|"&amp;$D92,ShiftKnowledge!$A$2:$A$9,0)),"")))</f>
        <v/>
      </c>
      <c r="I92" s="6">
        <f>IF($D92="Custom","",IFERROR(XLOOKUP($B92&amp;"|"&amp;$D92,ShiftKnowledge!$A$2:$A$9,ShiftKnowledge!$F$2:$F$9,""),IFERROR(INDEX(ShiftKnowledge!$F$2:$F$9,MATCH($B92&amp;"|"&amp;$D92,ShiftKnowledge!$A$2:$A$9,0)),"")))</f>
        <v/>
      </c>
      <c r="J92" s="6">
        <f>IF($D92="Custom","",IFERROR(XLOOKUP($B92&amp;"|"&amp;$D92,ShiftKnowledge!$A$2:$A$9,ShiftKnowledge!$G$2:$G$9,""),IFERROR(INDEX(ShiftKnowledge!$G$2:$G$9,MATCH($B92&amp;"|"&amp;$D92,ShiftKnowledge!$A$2:$A$9,0)),"")))</f>
        <v/>
      </c>
      <c r="K92" s="6">
        <f>IF($D92="Custom","",IFERROR(XLOOKUP($B92&amp;"|"&amp;$D92,ShiftKnowledge!$A$2:$A$9,ShiftKnowledge!$H$2:$H$9,""),IFERROR(INDEX(ShiftKnowledge!$H$2:$H$9,MATCH($B92&amp;"|"&amp;$D92,ShiftKnowledge!$A$2:$A$9,0)),"")))</f>
        <v/>
      </c>
      <c r="L92" s="6">
        <f>IF($D92="Custom","",IFERROR(XLOOKUP($B92&amp;"|"&amp;$D92,ShiftKnowledge!$A$2:$A$9,ShiftKnowledge!$I$2:$I$9,""),IFERROR(INDEX(ShiftKnowledge!$I$2:$I$9,MATCH($B92&amp;"|"&amp;$D92,ShiftKnowledge!$A$2:$A$9,0)),"")))</f>
        <v/>
      </c>
      <c r="M92" s="6" t="inlineStr"/>
    </row>
    <row r="93" ht="20" customHeight="1">
      <c r="A93" s="4" t="inlineStr">
        <is>
          <t>10/11/2025</t>
        </is>
      </c>
      <c r="B93" s="4" t="inlineStr">
        <is>
          <t>Pulmonology</t>
        </is>
      </c>
      <c r="C93" s="5" t="inlineStr">
        <is>
          <t>Dr. Ahmed Gamal Youssef Meselhi</t>
        </is>
      </c>
      <c r="D93" s="4" t="inlineStr"/>
      <c r="E93" s="4">
        <f>IF($D93="Custom","",IFERROR(XLOOKUP($B93&amp;"|"&amp;$D93,ShiftKnowledge!$A$2:$A$9,ShiftKnowledge!$D$2:$D$9,""),IFERROR(INDEX(ShiftKnowledge!$D$2:$D$9,MATCH($B93&amp;"|"&amp;$D93,ShiftKnowledge!$A$2:$A$9,0)),"")))</f>
        <v/>
      </c>
      <c r="F93" s="4" t="inlineStr"/>
      <c r="G93" s="4">
        <f>IF(AND($I93="",$L93=""),"",IFERROR(VALUE($I93),0)+IFERROR(VALUE($L93),0))</f>
        <v/>
      </c>
      <c r="H93" s="4">
        <f>IF($D93="Custom","",IFERROR(XLOOKUP($B93&amp;"|"&amp;$D93,ShiftKnowledge!$A$2:$A$9,ShiftKnowledge!$E$2:$E$9,""),IFERROR(INDEX(ShiftKnowledge!$E$2:$E$9,MATCH($B93&amp;"|"&amp;$D93,ShiftKnowledge!$A$2:$A$9,0)),"")))</f>
        <v/>
      </c>
      <c r="I93" s="4">
        <f>IF($D93="Custom","",IFERROR(XLOOKUP($B93&amp;"|"&amp;$D93,ShiftKnowledge!$A$2:$A$9,ShiftKnowledge!$F$2:$F$9,""),IFERROR(INDEX(ShiftKnowledge!$F$2:$F$9,MATCH($B93&amp;"|"&amp;$D93,ShiftKnowledge!$A$2:$A$9,0)),"")))</f>
        <v/>
      </c>
      <c r="J93" s="4">
        <f>IF($D93="Custom","",IFERROR(XLOOKUP($B93&amp;"|"&amp;$D93,ShiftKnowledge!$A$2:$A$9,ShiftKnowledge!$G$2:$G$9,""),IFERROR(INDEX(ShiftKnowledge!$G$2:$G$9,MATCH($B93&amp;"|"&amp;$D93,ShiftKnowledge!$A$2:$A$9,0)),"")))</f>
        <v/>
      </c>
      <c r="K93" s="4">
        <f>IF($D93="Custom","",IFERROR(XLOOKUP($B93&amp;"|"&amp;$D93,ShiftKnowledge!$A$2:$A$9,ShiftKnowledge!$H$2:$H$9,""),IFERROR(INDEX(ShiftKnowledge!$H$2:$H$9,MATCH($B93&amp;"|"&amp;$D93,ShiftKnowledge!$A$2:$A$9,0)),"")))</f>
        <v/>
      </c>
      <c r="L93" s="4">
        <f>IF($D93="Custom","",IFERROR(XLOOKUP($B93&amp;"|"&amp;$D93,ShiftKnowledge!$A$2:$A$9,ShiftKnowledge!$I$2:$I$9,""),IFERROR(INDEX(ShiftKnowledge!$I$2:$I$9,MATCH($B93&amp;"|"&amp;$D93,ShiftKnowledge!$A$2:$A$9,0)),"")))</f>
        <v/>
      </c>
      <c r="M93" s="4" t="inlineStr"/>
    </row>
    <row r="94" ht="20" customHeight="1">
      <c r="A94" s="6" t="inlineStr">
        <is>
          <t>10/11/2025</t>
        </is>
      </c>
      <c r="B94" s="6" t="inlineStr">
        <is>
          <t>Dental</t>
        </is>
      </c>
      <c r="C94" s="7" t="inlineStr">
        <is>
          <t>Dr. Aishath Suha Ali</t>
        </is>
      </c>
      <c r="D94" s="6" t="inlineStr"/>
      <c r="E94" s="6">
        <f>IF($D94="Custom","",IFERROR(XLOOKUP($B94&amp;"|"&amp;$D94,ShiftKnowledge!$A$2:$A$9,ShiftKnowledge!$D$2:$D$9,""),IFERROR(INDEX(ShiftKnowledge!$D$2:$D$9,MATCH($B94&amp;"|"&amp;$D94,ShiftKnowledge!$A$2:$A$9,0)),"")))</f>
        <v/>
      </c>
      <c r="F94" s="6" t="inlineStr"/>
      <c r="G94" s="6">
        <f>IF(AND($I94="",$L94=""),"",IFERROR(VALUE($I94),0)+IFERROR(VALUE($L94),0))</f>
        <v/>
      </c>
      <c r="H94" s="6">
        <f>IF($D94="Custom","",IFERROR(XLOOKUP($B94&amp;"|"&amp;$D94,ShiftKnowledge!$A$2:$A$9,ShiftKnowledge!$E$2:$E$9,""),IFERROR(INDEX(ShiftKnowledge!$E$2:$E$9,MATCH($B94&amp;"|"&amp;$D94,ShiftKnowledge!$A$2:$A$9,0)),"")))</f>
        <v/>
      </c>
      <c r="I94" s="6">
        <f>IF($D94="Custom","",IFERROR(XLOOKUP($B94&amp;"|"&amp;$D94,ShiftKnowledge!$A$2:$A$9,ShiftKnowledge!$F$2:$F$9,""),IFERROR(INDEX(ShiftKnowledge!$F$2:$F$9,MATCH($B94&amp;"|"&amp;$D94,ShiftKnowledge!$A$2:$A$9,0)),"")))</f>
        <v/>
      </c>
      <c r="J94" s="6">
        <f>IF($D94="Custom","",IFERROR(XLOOKUP($B94&amp;"|"&amp;$D94,ShiftKnowledge!$A$2:$A$9,ShiftKnowledge!$G$2:$G$9,""),IFERROR(INDEX(ShiftKnowledge!$G$2:$G$9,MATCH($B94&amp;"|"&amp;$D94,ShiftKnowledge!$A$2:$A$9,0)),"")))</f>
        <v/>
      </c>
      <c r="K94" s="6">
        <f>IF($D94="Custom","",IFERROR(XLOOKUP($B94&amp;"|"&amp;$D94,ShiftKnowledge!$A$2:$A$9,ShiftKnowledge!$H$2:$H$9,""),IFERROR(INDEX(ShiftKnowledge!$H$2:$H$9,MATCH($B94&amp;"|"&amp;$D94,ShiftKnowledge!$A$2:$A$9,0)),"")))</f>
        <v/>
      </c>
      <c r="L94" s="6">
        <f>IF($D94="Custom","",IFERROR(XLOOKUP($B94&amp;"|"&amp;$D94,ShiftKnowledge!$A$2:$A$9,ShiftKnowledge!$I$2:$I$9,""),IFERROR(INDEX(ShiftKnowledge!$I$2:$I$9,MATCH($B94&amp;"|"&amp;$D94,ShiftKnowledge!$A$2:$A$9,0)),"")))</f>
        <v/>
      </c>
      <c r="M94" s="6" t="inlineStr"/>
    </row>
    <row r="95" ht="20" customHeight="1">
      <c r="A95" s="4" t="inlineStr">
        <is>
          <t>10/11/2025</t>
        </is>
      </c>
      <c r="B95" s="4" t="inlineStr">
        <is>
          <t>Paediatrics</t>
        </is>
      </c>
      <c r="C95" s="5" t="inlineStr">
        <is>
          <t>Dr. Alaa Adel Ahmed Sayed Ahmed Sobeih Elamawey</t>
        </is>
      </c>
      <c r="D95" s="4" t="inlineStr"/>
      <c r="E95" s="4">
        <f>IF($D95="Custom","",IFERROR(XLOOKUP($B95&amp;"|"&amp;$D95,ShiftKnowledge!$A$2:$A$9,ShiftKnowledge!$D$2:$D$9,""),IFERROR(INDEX(ShiftKnowledge!$D$2:$D$9,MATCH($B95&amp;"|"&amp;$D95,ShiftKnowledge!$A$2:$A$9,0)),"")))</f>
        <v/>
      </c>
      <c r="F95" s="4" t="inlineStr"/>
      <c r="G95" s="4">
        <f>IF(AND($I95="",$L95=""),"",IFERROR(VALUE($I95),0)+IFERROR(VALUE($L95),0))</f>
        <v/>
      </c>
      <c r="H95" s="4">
        <f>IF($D95="Custom","",IFERROR(XLOOKUP($B95&amp;"|"&amp;$D95,ShiftKnowledge!$A$2:$A$9,ShiftKnowledge!$E$2:$E$9,""),IFERROR(INDEX(ShiftKnowledge!$E$2:$E$9,MATCH($B95&amp;"|"&amp;$D95,ShiftKnowledge!$A$2:$A$9,0)),"")))</f>
        <v/>
      </c>
      <c r="I95" s="4">
        <f>IF($D95="Custom","",IFERROR(XLOOKUP($B95&amp;"|"&amp;$D95,ShiftKnowledge!$A$2:$A$9,ShiftKnowledge!$F$2:$F$9,""),IFERROR(INDEX(ShiftKnowledge!$F$2:$F$9,MATCH($B95&amp;"|"&amp;$D95,ShiftKnowledge!$A$2:$A$9,0)),"")))</f>
        <v/>
      </c>
      <c r="J95" s="4">
        <f>IF($D95="Custom","",IFERROR(XLOOKUP($B95&amp;"|"&amp;$D95,ShiftKnowledge!$A$2:$A$9,ShiftKnowledge!$G$2:$G$9,""),IFERROR(INDEX(ShiftKnowledge!$G$2:$G$9,MATCH($B95&amp;"|"&amp;$D95,ShiftKnowledge!$A$2:$A$9,0)),"")))</f>
        <v/>
      </c>
      <c r="K95" s="4">
        <f>IF($D95="Custom","",IFERROR(XLOOKUP($B95&amp;"|"&amp;$D95,ShiftKnowledge!$A$2:$A$9,ShiftKnowledge!$H$2:$H$9,""),IFERROR(INDEX(ShiftKnowledge!$H$2:$H$9,MATCH($B95&amp;"|"&amp;$D95,ShiftKnowledge!$A$2:$A$9,0)),"")))</f>
        <v/>
      </c>
      <c r="L95" s="4">
        <f>IF($D95="Custom","",IFERROR(XLOOKUP($B95&amp;"|"&amp;$D95,ShiftKnowledge!$A$2:$A$9,ShiftKnowledge!$I$2:$I$9,""),IFERROR(INDEX(ShiftKnowledge!$I$2:$I$9,MATCH($B95&amp;"|"&amp;$D95,ShiftKnowledge!$A$2:$A$9,0)),"")))</f>
        <v/>
      </c>
      <c r="M95" s="4" t="inlineStr"/>
    </row>
    <row r="96" ht="20" customHeight="1">
      <c r="A96" s="6" t="inlineStr">
        <is>
          <t>10/11/2025</t>
        </is>
      </c>
      <c r="B96" s="6" t="inlineStr">
        <is>
          <t>Paediatrics</t>
        </is>
      </c>
      <c r="C96" s="7" t="inlineStr">
        <is>
          <t>Dr. Alisha Joshi</t>
        </is>
      </c>
      <c r="D96" s="6" t="inlineStr"/>
      <c r="E96" s="6">
        <f>IF($D96="Custom","",IFERROR(XLOOKUP($B96&amp;"|"&amp;$D96,ShiftKnowledge!$A$2:$A$9,ShiftKnowledge!$D$2:$D$9,""),IFERROR(INDEX(ShiftKnowledge!$D$2:$D$9,MATCH($B96&amp;"|"&amp;$D96,ShiftKnowledge!$A$2:$A$9,0)),"")))</f>
        <v/>
      </c>
      <c r="F96" s="6" t="inlineStr"/>
      <c r="G96" s="6">
        <f>IF(AND($I96="",$L96=""),"",IFERROR(VALUE($I96),0)+IFERROR(VALUE($L96),0))</f>
        <v/>
      </c>
      <c r="H96" s="6">
        <f>IF($D96="Custom","",IFERROR(XLOOKUP($B96&amp;"|"&amp;$D96,ShiftKnowledge!$A$2:$A$9,ShiftKnowledge!$E$2:$E$9,""),IFERROR(INDEX(ShiftKnowledge!$E$2:$E$9,MATCH($B96&amp;"|"&amp;$D96,ShiftKnowledge!$A$2:$A$9,0)),"")))</f>
        <v/>
      </c>
      <c r="I96" s="6">
        <f>IF($D96="Custom","",IFERROR(XLOOKUP($B96&amp;"|"&amp;$D96,ShiftKnowledge!$A$2:$A$9,ShiftKnowledge!$F$2:$F$9,""),IFERROR(INDEX(ShiftKnowledge!$F$2:$F$9,MATCH($B96&amp;"|"&amp;$D96,ShiftKnowledge!$A$2:$A$9,0)),"")))</f>
        <v/>
      </c>
      <c r="J96" s="6">
        <f>IF($D96="Custom","",IFERROR(XLOOKUP($B96&amp;"|"&amp;$D96,ShiftKnowledge!$A$2:$A$9,ShiftKnowledge!$G$2:$G$9,""),IFERROR(INDEX(ShiftKnowledge!$G$2:$G$9,MATCH($B96&amp;"|"&amp;$D96,ShiftKnowledge!$A$2:$A$9,0)),"")))</f>
        <v/>
      </c>
      <c r="K96" s="6">
        <f>IF($D96="Custom","",IFERROR(XLOOKUP($B96&amp;"|"&amp;$D96,ShiftKnowledge!$A$2:$A$9,ShiftKnowledge!$H$2:$H$9,""),IFERROR(INDEX(ShiftKnowledge!$H$2:$H$9,MATCH($B96&amp;"|"&amp;$D96,ShiftKnowledge!$A$2:$A$9,0)),"")))</f>
        <v/>
      </c>
      <c r="L96" s="6">
        <f>IF($D96="Custom","",IFERROR(XLOOKUP($B96&amp;"|"&amp;$D96,ShiftKnowledge!$A$2:$A$9,ShiftKnowledge!$I$2:$I$9,""),IFERROR(INDEX(ShiftKnowledge!$I$2:$I$9,MATCH($B96&amp;"|"&amp;$D96,ShiftKnowledge!$A$2:$A$9,0)),"")))</f>
        <v/>
      </c>
      <c r="M96" s="6" t="inlineStr"/>
    </row>
    <row r="97" ht="20" customHeight="1">
      <c r="A97" s="4" t="inlineStr">
        <is>
          <t>10/11/2025</t>
        </is>
      </c>
      <c r="B97" s="4" t="inlineStr">
        <is>
          <t>Dental</t>
        </is>
      </c>
      <c r="C97" s="5" t="inlineStr">
        <is>
          <t>Dr. Aminath Dhunyana</t>
        </is>
      </c>
      <c r="D97" s="4" t="inlineStr"/>
      <c r="E97" s="4">
        <f>IF($D97="Custom","",IFERROR(XLOOKUP($B97&amp;"|"&amp;$D97,ShiftKnowledge!$A$2:$A$9,ShiftKnowledge!$D$2:$D$9,""),IFERROR(INDEX(ShiftKnowledge!$D$2:$D$9,MATCH($B97&amp;"|"&amp;$D97,ShiftKnowledge!$A$2:$A$9,0)),"")))</f>
        <v/>
      </c>
      <c r="F97" s="4" t="inlineStr"/>
      <c r="G97" s="4">
        <f>IF(AND($I97="",$L97=""),"",IFERROR(VALUE($I97),0)+IFERROR(VALUE($L97),0))</f>
        <v/>
      </c>
      <c r="H97" s="4">
        <f>IF($D97="Custom","",IFERROR(XLOOKUP($B97&amp;"|"&amp;$D97,ShiftKnowledge!$A$2:$A$9,ShiftKnowledge!$E$2:$E$9,""),IFERROR(INDEX(ShiftKnowledge!$E$2:$E$9,MATCH($B97&amp;"|"&amp;$D97,ShiftKnowledge!$A$2:$A$9,0)),"")))</f>
        <v/>
      </c>
      <c r="I97" s="4">
        <f>IF($D97="Custom","",IFERROR(XLOOKUP($B97&amp;"|"&amp;$D97,ShiftKnowledge!$A$2:$A$9,ShiftKnowledge!$F$2:$F$9,""),IFERROR(INDEX(ShiftKnowledge!$F$2:$F$9,MATCH($B97&amp;"|"&amp;$D97,ShiftKnowledge!$A$2:$A$9,0)),"")))</f>
        <v/>
      </c>
      <c r="J97" s="4">
        <f>IF($D97="Custom","",IFERROR(XLOOKUP($B97&amp;"|"&amp;$D97,ShiftKnowledge!$A$2:$A$9,ShiftKnowledge!$G$2:$G$9,""),IFERROR(INDEX(ShiftKnowledge!$G$2:$G$9,MATCH($B97&amp;"|"&amp;$D97,ShiftKnowledge!$A$2:$A$9,0)),"")))</f>
        <v/>
      </c>
      <c r="K97" s="4">
        <f>IF($D97="Custom","",IFERROR(XLOOKUP($B97&amp;"|"&amp;$D97,ShiftKnowledge!$A$2:$A$9,ShiftKnowledge!$H$2:$H$9,""),IFERROR(INDEX(ShiftKnowledge!$H$2:$H$9,MATCH($B97&amp;"|"&amp;$D97,ShiftKnowledge!$A$2:$A$9,0)),"")))</f>
        <v/>
      </c>
      <c r="L97" s="4">
        <f>IF($D97="Custom","",IFERROR(XLOOKUP($B97&amp;"|"&amp;$D97,ShiftKnowledge!$A$2:$A$9,ShiftKnowledge!$I$2:$I$9,""),IFERROR(INDEX(ShiftKnowledge!$I$2:$I$9,MATCH($B97&amp;"|"&amp;$D97,ShiftKnowledge!$A$2:$A$9,0)),"")))</f>
        <v/>
      </c>
      <c r="M97" s="4" t="inlineStr"/>
    </row>
    <row r="98" ht="20" customHeight="1">
      <c r="A98" s="6" t="inlineStr">
        <is>
          <t>10/11/2025</t>
        </is>
      </c>
      <c r="B98" s="6" t="inlineStr">
        <is>
          <t>Gynaecology</t>
        </is>
      </c>
      <c r="C98" s="7" t="inlineStr">
        <is>
          <t>Dr. Aminath Juhaina</t>
        </is>
      </c>
      <c r="D98" s="6" t="inlineStr"/>
      <c r="E98" s="6">
        <f>IF($D98="Custom","",IFERROR(XLOOKUP($B98&amp;"|"&amp;$D98,ShiftKnowledge!$A$2:$A$9,ShiftKnowledge!$D$2:$D$9,""),IFERROR(INDEX(ShiftKnowledge!$D$2:$D$9,MATCH($B98&amp;"|"&amp;$D98,ShiftKnowledge!$A$2:$A$9,0)),"")))</f>
        <v/>
      </c>
      <c r="F98" s="6" t="inlineStr"/>
      <c r="G98" s="6">
        <f>IF(AND($I98="",$L98=""),"",IFERROR(VALUE($I98),0)+IFERROR(VALUE($L98),0))</f>
        <v/>
      </c>
      <c r="H98" s="6">
        <f>IF($D98="Custom","",IFERROR(XLOOKUP($B98&amp;"|"&amp;$D98,ShiftKnowledge!$A$2:$A$9,ShiftKnowledge!$E$2:$E$9,""),IFERROR(INDEX(ShiftKnowledge!$E$2:$E$9,MATCH($B98&amp;"|"&amp;$D98,ShiftKnowledge!$A$2:$A$9,0)),"")))</f>
        <v/>
      </c>
      <c r="I98" s="6">
        <f>IF($D98="Custom","",IFERROR(XLOOKUP($B98&amp;"|"&amp;$D98,ShiftKnowledge!$A$2:$A$9,ShiftKnowledge!$F$2:$F$9,""),IFERROR(INDEX(ShiftKnowledge!$F$2:$F$9,MATCH($B98&amp;"|"&amp;$D98,ShiftKnowledge!$A$2:$A$9,0)),"")))</f>
        <v/>
      </c>
      <c r="J98" s="6">
        <f>IF($D98="Custom","",IFERROR(XLOOKUP($B98&amp;"|"&amp;$D98,ShiftKnowledge!$A$2:$A$9,ShiftKnowledge!$G$2:$G$9,""),IFERROR(INDEX(ShiftKnowledge!$G$2:$G$9,MATCH($B98&amp;"|"&amp;$D98,ShiftKnowledge!$A$2:$A$9,0)),"")))</f>
        <v/>
      </c>
      <c r="K98" s="6">
        <f>IF($D98="Custom","",IFERROR(XLOOKUP($B98&amp;"|"&amp;$D98,ShiftKnowledge!$A$2:$A$9,ShiftKnowledge!$H$2:$H$9,""),IFERROR(INDEX(ShiftKnowledge!$H$2:$H$9,MATCH($B98&amp;"|"&amp;$D98,ShiftKnowledge!$A$2:$A$9,0)),"")))</f>
        <v/>
      </c>
      <c r="L98" s="6">
        <f>IF($D98="Custom","",IFERROR(XLOOKUP($B98&amp;"|"&amp;$D98,ShiftKnowledge!$A$2:$A$9,ShiftKnowledge!$I$2:$I$9,""),IFERROR(INDEX(ShiftKnowledge!$I$2:$I$9,MATCH($B98&amp;"|"&amp;$D98,ShiftKnowledge!$A$2:$A$9,0)),"")))</f>
        <v/>
      </c>
      <c r="M98" s="6" t="inlineStr"/>
    </row>
    <row r="99" ht="20" customHeight="1">
      <c r="A99" s="4" t="inlineStr">
        <is>
          <t>10/11/2025</t>
        </is>
      </c>
      <c r="B99" s="4" t="inlineStr">
        <is>
          <t>Dental</t>
        </is>
      </c>
      <c r="C99" s="5" t="inlineStr">
        <is>
          <t>Dr. Aminath Khazna Musthafa</t>
        </is>
      </c>
      <c r="D99" s="4" t="inlineStr"/>
      <c r="E99" s="4">
        <f>IF($D99="Custom","",IFERROR(XLOOKUP($B99&amp;"|"&amp;$D99,ShiftKnowledge!$A$2:$A$9,ShiftKnowledge!$D$2:$D$9,""),IFERROR(INDEX(ShiftKnowledge!$D$2:$D$9,MATCH($B99&amp;"|"&amp;$D99,ShiftKnowledge!$A$2:$A$9,0)),"")))</f>
        <v/>
      </c>
      <c r="F99" s="4" t="inlineStr"/>
      <c r="G99" s="4">
        <f>IF(AND($I99="",$L99=""),"",IFERROR(VALUE($I99),0)+IFERROR(VALUE($L99),0))</f>
        <v/>
      </c>
      <c r="H99" s="4">
        <f>IF($D99="Custom","",IFERROR(XLOOKUP($B99&amp;"|"&amp;$D99,ShiftKnowledge!$A$2:$A$9,ShiftKnowledge!$E$2:$E$9,""),IFERROR(INDEX(ShiftKnowledge!$E$2:$E$9,MATCH($B99&amp;"|"&amp;$D99,ShiftKnowledge!$A$2:$A$9,0)),"")))</f>
        <v/>
      </c>
      <c r="I99" s="4">
        <f>IF($D99="Custom","",IFERROR(XLOOKUP($B99&amp;"|"&amp;$D99,ShiftKnowledge!$A$2:$A$9,ShiftKnowledge!$F$2:$F$9,""),IFERROR(INDEX(ShiftKnowledge!$F$2:$F$9,MATCH($B99&amp;"|"&amp;$D99,ShiftKnowledge!$A$2:$A$9,0)),"")))</f>
        <v/>
      </c>
      <c r="J99" s="4">
        <f>IF($D99="Custom","",IFERROR(XLOOKUP($B99&amp;"|"&amp;$D99,ShiftKnowledge!$A$2:$A$9,ShiftKnowledge!$G$2:$G$9,""),IFERROR(INDEX(ShiftKnowledge!$G$2:$G$9,MATCH($B99&amp;"|"&amp;$D99,ShiftKnowledge!$A$2:$A$9,0)),"")))</f>
        <v/>
      </c>
      <c r="K99" s="4">
        <f>IF($D99="Custom","",IFERROR(XLOOKUP($B99&amp;"|"&amp;$D99,ShiftKnowledge!$A$2:$A$9,ShiftKnowledge!$H$2:$H$9,""),IFERROR(INDEX(ShiftKnowledge!$H$2:$H$9,MATCH($B99&amp;"|"&amp;$D99,ShiftKnowledge!$A$2:$A$9,0)),"")))</f>
        <v/>
      </c>
      <c r="L99" s="4">
        <f>IF($D99="Custom","",IFERROR(XLOOKUP($B99&amp;"|"&amp;$D99,ShiftKnowledge!$A$2:$A$9,ShiftKnowledge!$I$2:$I$9,""),IFERROR(INDEX(ShiftKnowledge!$I$2:$I$9,MATCH($B99&amp;"|"&amp;$D99,ShiftKnowledge!$A$2:$A$9,0)),"")))</f>
        <v/>
      </c>
      <c r="M99" s="4" t="inlineStr"/>
    </row>
    <row r="100" ht="20" customHeight="1">
      <c r="A100" s="6" t="inlineStr">
        <is>
          <t>10/11/2025</t>
        </is>
      </c>
      <c r="B100" s="6" t="inlineStr">
        <is>
          <t>Internal Medicine</t>
        </is>
      </c>
      <c r="C100" s="7" t="inlineStr">
        <is>
          <t>Dr. Aminath Munaza</t>
        </is>
      </c>
      <c r="D100" s="6" t="inlineStr"/>
      <c r="E100" s="6">
        <f>IF($D100="Custom","",IFERROR(XLOOKUP($B100&amp;"|"&amp;$D100,ShiftKnowledge!$A$2:$A$9,ShiftKnowledge!$D$2:$D$9,""),IFERROR(INDEX(ShiftKnowledge!$D$2:$D$9,MATCH($B100&amp;"|"&amp;$D100,ShiftKnowledge!$A$2:$A$9,0)),"")))</f>
        <v/>
      </c>
      <c r="F100" s="6" t="inlineStr"/>
      <c r="G100" s="6">
        <f>IF(AND($I100="",$L100=""),"",IFERROR(VALUE($I100),0)+IFERROR(VALUE($L100),0))</f>
        <v/>
      </c>
      <c r="H100" s="6">
        <f>IF($D100="Custom","",IFERROR(XLOOKUP($B100&amp;"|"&amp;$D100,ShiftKnowledge!$A$2:$A$9,ShiftKnowledge!$E$2:$E$9,""),IFERROR(INDEX(ShiftKnowledge!$E$2:$E$9,MATCH($B100&amp;"|"&amp;$D100,ShiftKnowledge!$A$2:$A$9,0)),"")))</f>
        <v/>
      </c>
      <c r="I100" s="6">
        <f>IF($D100="Custom","",IFERROR(XLOOKUP($B100&amp;"|"&amp;$D100,ShiftKnowledge!$A$2:$A$9,ShiftKnowledge!$F$2:$F$9,""),IFERROR(INDEX(ShiftKnowledge!$F$2:$F$9,MATCH($B100&amp;"|"&amp;$D100,ShiftKnowledge!$A$2:$A$9,0)),"")))</f>
        <v/>
      </c>
      <c r="J100" s="6">
        <f>IF($D100="Custom","",IFERROR(XLOOKUP($B100&amp;"|"&amp;$D100,ShiftKnowledge!$A$2:$A$9,ShiftKnowledge!$G$2:$G$9,""),IFERROR(INDEX(ShiftKnowledge!$G$2:$G$9,MATCH($B100&amp;"|"&amp;$D100,ShiftKnowledge!$A$2:$A$9,0)),"")))</f>
        <v/>
      </c>
      <c r="K100" s="6">
        <f>IF($D100="Custom","",IFERROR(XLOOKUP($B100&amp;"|"&amp;$D100,ShiftKnowledge!$A$2:$A$9,ShiftKnowledge!$H$2:$H$9,""),IFERROR(INDEX(ShiftKnowledge!$H$2:$H$9,MATCH($B100&amp;"|"&amp;$D100,ShiftKnowledge!$A$2:$A$9,0)),"")))</f>
        <v/>
      </c>
      <c r="L100" s="6">
        <f>IF($D100="Custom","",IFERROR(XLOOKUP($B100&amp;"|"&amp;$D100,ShiftKnowledge!$A$2:$A$9,ShiftKnowledge!$I$2:$I$9,""),IFERROR(INDEX(ShiftKnowledge!$I$2:$I$9,MATCH($B100&amp;"|"&amp;$D100,ShiftKnowledge!$A$2:$A$9,0)),"")))</f>
        <v/>
      </c>
      <c r="M100" s="6" t="inlineStr"/>
    </row>
    <row r="101" ht="20" customHeight="1">
      <c r="A101" s="4" t="inlineStr">
        <is>
          <t>10/11/2025</t>
        </is>
      </c>
      <c r="B101" s="4" t="inlineStr">
        <is>
          <t>Psychiatry</t>
        </is>
      </c>
      <c r="C101" s="5" t="inlineStr">
        <is>
          <t>Dr. Anas Mohamed Anwar Ahmed Ali</t>
        </is>
      </c>
      <c r="D101" s="4" t="inlineStr"/>
      <c r="E101" s="4">
        <f>IF($D101="Custom","",IFERROR(XLOOKUP($B101&amp;"|"&amp;$D101,ShiftKnowledge!$A$2:$A$9,ShiftKnowledge!$D$2:$D$9,""),IFERROR(INDEX(ShiftKnowledge!$D$2:$D$9,MATCH($B101&amp;"|"&amp;$D101,ShiftKnowledge!$A$2:$A$9,0)),"")))</f>
        <v/>
      </c>
      <c r="F101" s="4" t="inlineStr"/>
      <c r="G101" s="4">
        <f>IF(AND($I101="",$L101=""),"",IFERROR(VALUE($I101),0)+IFERROR(VALUE($L101),0))</f>
        <v/>
      </c>
      <c r="H101" s="4">
        <f>IF($D101="Custom","",IFERROR(XLOOKUP($B101&amp;"|"&amp;$D101,ShiftKnowledge!$A$2:$A$9,ShiftKnowledge!$E$2:$E$9,""),IFERROR(INDEX(ShiftKnowledge!$E$2:$E$9,MATCH($B101&amp;"|"&amp;$D101,ShiftKnowledge!$A$2:$A$9,0)),"")))</f>
        <v/>
      </c>
      <c r="I101" s="4">
        <f>IF($D101="Custom","",IFERROR(XLOOKUP($B101&amp;"|"&amp;$D101,ShiftKnowledge!$A$2:$A$9,ShiftKnowledge!$F$2:$F$9,""),IFERROR(INDEX(ShiftKnowledge!$F$2:$F$9,MATCH($B101&amp;"|"&amp;$D101,ShiftKnowledge!$A$2:$A$9,0)),"")))</f>
        <v/>
      </c>
      <c r="J101" s="4">
        <f>IF($D101="Custom","",IFERROR(XLOOKUP($B101&amp;"|"&amp;$D101,ShiftKnowledge!$A$2:$A$9,ShiftKnowledge!$G$2:$G$9,""),IFERROR(INDEX(ShiftKnowledge!$G$2:$G$9,MATCH($B101&amp;"|"&amp;$D101,ShiftKnowledge!$A$2:$A$9,0)),"")))</f>
        <v/>
      </c>
      <c r="K101" s="4">
        <f>IF($D101="Custom","",IFERROR(XLOOKUP($B101&amp;"|"&amp;$D101,ShiftKnowledge!$A$2:$A$9,ShiftKnowledge!$H$2:$H$9,""),IFERROR(INDEX(ShiftKnowledge!$H$2:$H$9,MATCH($B101&amp;"|"&amp;$D101,ShiftKnowledge!$A$2:$A$9,0)),"")))</f>
        <v/>
      </c>
      <c r="L101" s="4">
        <f>IF($D101="Custom","",IFERROR(XLOOKUP($B101&amp;"|"&amp;$D101,ShiftKnowledge!$A$2:$A$9,ShiftKnowledge!$I$2:$I$9,""),IFERROR(INDEX(ShiftKnowledge!$I$2:$I$9,MATCH($B101&amp;"|"&amp;$D101,ShiftKnowledge!$A$2:$A$9,0)),"")))</f>
        <v/>
      </c>
      <c r="M101" s="4" t="inlineStr"/>
    </row>
    <row r="102" ht="20" customHeight="1">
      <c r="A102" s="6" t="inlineStr">
        <is>
          <t>10/11/2025</t>
        </is>
      </c>
      <c r="B102" s="6" t="inlineStr">
        <is>
          <t>Oral Maxillo facial surgery (OMS)</t>
        </is>
      </c>
      <c r="C102" s="7" t="inlineStr">
        <is>
          <t>Dr. Arpita Singh</t>
        </is>
      </c>
      <c r="D102" s="6" t="inlineStr"/>
      <c r="E102" s="6">
        <f>IF($D102="Custom","",IFERROR(XLOOKUP($B102&amp;"|"&amp;$D102,ShiftKnowledge!$A$2:$A$9,ShiftKnowledge!$D$2:$D$9,""),IFERROR(INDEX(ShiftKnowledge!$D$2:$D$9,MATCH($B102&amp;"|"&amp;$D102,ShiftKnowledge!$A$2:$A$9,0)),"")))</f>
        <v/>
      </c>
      <c r="F102" s="6" t="inlineStr"/>
      <c r="G102" s="6">
        <f>IF(AND($I102="",$L102=""),"",IFERROR(VALUE($I102),0)+IFERROR(VALUE($L102),0))</f>
        <v/>
      </c>
      <c r="H102" s="6">
        <f>IF($D102="Custom","",IFERROR(XLOOKUP($B102&amp;"|"&amp;$D102,ShiftKnowledge!$A$2:$A$9,ShiftKnowledge!$E$2:$E$9,""),IFERROR(INDEX(ShiftKnowledge!$E$2:$E$9,MATCH($B102&amp;"|"&amp;$D102,ShiftKnowledge!$A$2:$A$9,0)),"")))</f>
        <v/>
      </c>
      <c r="I102" s="6">
        <f>IF($D102="Custom","",IFERROR(XLOOKUP($B102&amp;"|"&amp;$D102,ShiftKnowledge!$A$2:$A$9,ShiftKnowledge!$F$2:$F$9,""),IFERROR(INDEX(ShiftKnowledge!$F$2:$F$9,MATCH($B102&amp;"|"&amp;$D102,ShiftKnowledge!$A$2:$A$9,0)),"")))</f>
        <v/>
      </c>
      <c r="J102" s="6">
        <f>IF($D102="Custom","",IFERROR(XLOOKUP($B102&amp;"|"&amp;$D102,ShiftKnowledge!$A$2:$A$9,ShiftKnowledge!$G$2:$G$9,""),IFERROR(INDEX(ShiftKnowledge!$G$2:$G$9,MATCH($B102&amp;"|"&amp;$D102,ShiftKnowledge!$A$2:$A$9,0)),"")))</f>
        <v/>
      </c>
      <c r="K102" s="6">
        <f>IF($D102="Custom","",IFERROR(XLOOKUP($B102&amp;"|"&amp;$D102,ShiftKnowledge!$A$2:$A$9,ShiftKnowledge!$H$2:$H$9,""),IFERROR(INDEX(ShiftKnowledge!$H$2:$H$9,MATCH($B102&amp;"|"&amp;$D102,ShiftKnowledge!$A$2:$A$9,0)),"")))</f>
        <v/>
      </c>
      <c r="L102" s="6">
        <f>IF($D102="Custom","",IFERROR(XLOOKUP($B102&amp;"|"&amp;$D102,ShiftKnowledge!$A$2:$A$9,ShiftKnowledge!$I$2:$I$9,""),IFERROR(INDEX(ShiftKnowledge!$I$2:$I$9,MATCH($B102&amp;"|"&amp;$D102,ShiftKnowledge!$A$2:$A$9,0)),"")))</f>
        <v/>
      </c>
      <c r="M102" s="6" t="inlineStr"/>
    </row>
    <row r="103" ht="20" customHeight="1">
      <c r="A103" s="4" t="inlineStr">
        <is>
          <t>10/11/2025</t>
        </is>
      </c>
      <c r="B103" s="4" t="inlineStr">
        <is>
          <t>Orthopaedics</t>
        </is>
      </c>
      <c r="C103" s="5" t="inlineStr">
        <is>
          <t>Dr. Asish Rajak</t>
        </is>
      </c>
      <c r="D103" s="4" t="inlineStr"/>
      <c r="E103" s="4">
        <f>IF($D103="Custom","",IFERROR(XLOOKUP($B103&amp;"|"&amp;$D103,ShiftKnowledge!$A$2:$A$9,ShiftKnowledge!$D$2:$D$9,""),IFERROR(INDEX(ShiftKnowledge!$D$2:$D$9,MATCH($B103&amp;"|"&amp;$D103,ShiftKnowledge!$A$2:$A$9,0)),"")))</f>
        <v/>
      </c>
      <c r="F103" s="4" t="inlineStr"/>
      <c r="G103" s="4">
        <f>IF(AND($I103="",$L103=""),"",IFERROR(VALUE($I103),0)+IFERROR(VALUE($L103),0))</f>
        <v/>
      </c>
      <c r="H103" s="4">
        <f>IF($D103="Custom","",IFERROR(XLOOKUP($B103&amp;"|"&amp;$D103,ShiftKnowledge!$A$2:$A$9,ShiftKnowledge!$E$2:$E$9,""),IFERROR(INDEX(ShiftKnowledge!$E$2:$E$9,MATCH($B103&amp;"|"&amp;$D103,ShiftKnowledge!$A$2:$A$9,0)),"")))</f>
        <v/>
      </c>
      <c r="I103" s="4">
        <f>IF($D103="Custom","",IFERROR(XLOOKUP($B103&amp;"|"&amp;$D103,ShiftKnowledge!$A$2:$A$9,ShiftKnowledge!$F$2:$F$9,""),IFERROR(INDEX(ShiftKnowledge!$F$2:$F$9,MATCH($B103&amp;"|"&amp;$D103,ShiftKnowledge!$A$2:$A$9,0)),"")))</f>
        <v/>
      </c>
      <c r="J103" s="4">
        <f>IF($D103="Custom","",IFERROR(XLOOKUP($B103&amp;"|"&amp;$D103,ShiftKnowledge!$A$2:$A$9,ShiftKnowledge!$G$2:$G$9,""),IFERROR(INDEX(ShiftKnowledge!$G$2:$G$9,MATCH($B103&amp;"|"&amp;$D103,ShiftKnowledge!$A$2:$A$9,0)),"")))</f>
        <v/>
      </c>
      <c r="K103" s="4">
        <f>IF($D103="Custom","",IFERROR(XLOOKUP($B103&amp;"|"&amp;$D103,ShiftKnowledge!$A$2:$A$9,ShiftKnowledge!$H$2:$H$9,""),IFERROR(INDEX(ShiftKnowledge!$H$2:$H$9,MATCH($B103&amp;"|"&amp;$D103,ShiftKnowledge!$A$2:$A$9,0)),"")))</f>
        <v/>
      </c>
      <c r="L103" s="4">
        <f>IF($D103="Custom","",IFERROR(XLOOKUP($B103&amp;"|"&amp;$D103,ShiftKnowledge!$A$2:$A$9,ShiftKnowledge!$I$2:$I$9,""),IFERROR(INDEX(ShiftKnowledge!$I$2:$I$9,MATCH($B103&amp;"|"&amp;$D103,ShiftKnowledge!$A$2:$A$9,0)),"")))</f>
        <v/>
      </c>
      <c r="M103" s="4" t="inlineStr"/>
    </row>
    <row r="104" ht="20" customHeight="1">
      <c r="A104" s="6" t="inlineStr">
        <is>
          <t>10/11/2025</t>
        </is>
      </c>
      <c r="B104" s="6" t="inlineStr">
        <is>
          <t>Dermatology</t>
        </is>
      </c>
      <c r="C104" s="7" t="inlineStr">
        <is>
          <t>Dr. Aya Gamal Kotb Mohamed Elagamy</t>
        </is>
      </c>
      <c r="D104" s="6" t="inlineStr"/>
      <c r="E104" s="6">
        <f>IF($D104="Custom","",IFERROR(XLOOKUP($B104&amp;"|"&amp;$D104,ShiftKnowledge!$A$2:$A$9,ShiftKnowledge!$D$2:$D$9,""),IFERROR(INDEX(ShiftKnowledge!$D$2:$D$9,MATCH($B104&amp;"|"&amp;$D104,ShiftKnowledge!$A$2:$A$9,0)),"")))</f>
        <v/>
      </c>
      <c r="F104" s="6" t="inlineStr"/>
      <c r="G104" s="6">
        <f>IF(AND($I104="",$L104=""),"",IFERROR(VALUE($I104),0)+IFERROR(VALUE($L104),0))</f>
        <v/>
      </c>
      <c r="H104" s="6">
        <f>IF($D104="Custom","",IFERROR(XLOOKUP($B104&amp;"|"&amp;$D104,ShiftKnowledge!$A$2:$A$9,ShiftKnowledge!$E$2:$E$9,""),IFERROR(INDEX(ShiftKnowledge!$E$2:$E$9,MATCH($B104&amp;"|"&amp;$D104,ShiftKnowledge!$A$2:$A$9,0)),"")))</f>
        <v/>
      </c>
      <c r="I104" s="6">
        <f>IF($D104="Custom","",IFERROR(XLOOKUP($B104&amp;"|"&amp;$D104,ShiftKnowledge!$A$2:$A$9,ShiftKnowledge!$F$2:$F$9,""),IFERROR(INDEX(ShiftKnowledge!$F$2:$F$9,MATCH($B104&amp;"|"&amp;$D104,ShiftKnowledge!$A$2:$A$9,0)),"")))</f>
        <v/>
      </c>
      <c r="J104" s="6">
        <f>IF($D104="Custom","",IFERROR(XLOOKUP($B104&amp;"|"&amp;$D104,ShiftKnowledge!$A$2:$A$9,ShiftKnowledge!$G$2:$G$9,""),IFERROR(INDEX(ShiftKnowledge!$G$2:$G$9,MATCH($B104&amp;"|"&amp;$D104,ShiftKnowledge!$A$2:$A$9,0)),"")))</f>
        <v/>
      </c>
      <c r="K104" s="6">
        <f>IF($D104="Custom","",IFERROR(XLOOKUP($B104&amp;"|"&amp;$D104,ShiftKnowledge!$A$2:$A$9,ShiftKnowledge!$H$2:$H$9,""),IFERROR(INDEX(ShiftKnowledge!$H$2:$H$9,MATCH($B104&amp;"|"&amp;$D104,ShiftKnowledge!$A$2:$A$9,0)),"")))</f>
        <v/>
      </c>
      <c r="L104" s="6">
        <f>IF($D104="Custom","",IFERROR(XLOOKUP($B104&amp;"|"&amp;$D104,ShiftKnowledge!$A$2:$A$9,ShiftKnowledge!$I$2:$I$9,""),IFERROR(INDEX(ShiftKnowledge!$I$2:$I$9,MATCH($B104&amp;"|"&amp;$D104,ShiftKnowledge!$A$2:$A$9,0)),"")))</f>
        <v/>
      </c>
      <c r="M104" s="6" t="inlineStr"/>
    </row>
    <row r="105" ht="20" customHeight="1">
      <c r="A105" s="4" t="inlineStr">
        <is>
          <t>10/11/2025</t>
        </is>
      </c>
      <c r="B105" s="4" t="inlineStr">
        <is>
          <t>Dental</t>
        </is>
      </c>
      <c r="C105" s="5" t="inlineStr">
        <is>
          <t>Dr. Benjamin Premkumar</t>
        </is>
      </c>
      <c r="D105" s="4" t="inlineStr"/>
      <c r="E105" s="4">
        <f>IF($D105="Custom","",IFERROR(XLOOKUP($B105&amp;"|"&amp;$D105,ShiftKnowledge!$A$2:$A$9,ShiftKnowledge!$D$2:$D$9,""),IFERROR(INDEX(ShiftKnowledge!$D$2:$D$9,MATCH($B105&amp;"|"&amp;$D105,ShiftKnowledge!$A$2:$A$9,0)),"")))</f>
        <v/>
      </c>
      <c r="F105" s="4" t="inlineStr"/>
      <c r="G105" s="4">
        <f>IF(AND($I105="",$L105=""),"",IFERROR(VALUE($I105),0)+IFERROR(VALUE($L105),0))</f>
        <v/>
      </c>
      <c r="H105" s="4">
        <f>IF($D105="Custom","",IFERROR(XLOOKUP($B105&amp;"|"&amp;$D105,ShiftKnowledge!$A$2:$A$9,ShiftKnowledge!$E$2:$E$9,""),IFERROR(INDEX(ShiftKnowledge!$E$2:$E$9,MATCH($B105&amp;"|"&amp;$D105,ShiftKnowledge!$A$2:$A$9,0)),"")))</f>
        <v/>
      </c>
      <c r="I105" s="4">
        <f>IF($D105="Custom","",IFERROR(XLOOKUP($B105&amp;"|"&amp;$D105,ShiftKnowledge!$A$2:$A$9,ShiftKnowledge!$F$2:$F$9,""),IFERROR(INDEX(ShiftKnowledge!$F$2:$F$9,MATCH($B105&amp;"|"&amp;$D105,ShiftKnowledge!$A$2:$A$9,0)),"")))</f>
        <v/>
      </c>
      <c r="J105" s="4">
        <f>IF($D105="Custom","",IFERROR(XLOOKUP($B105&amp;"|"&amp;$D105,ShiftKnowledge!$A$2:$A$9,ShiftKnowledge!$G$2:$G$9,""),IFERROR(INDEX(ShiftKnowledge!$G$2:$G$9,MATCH($B105&amp;"|"&amp;$D105,ShiftKnowledge!$A$2:$A$9,0)),"")))</f>
        <v/>
      </c>
      <c r="K105" s="4">
        <f>IF($D105="Custom","",IFERROR(XLOOKUP($B105&amp;"|"&amp;$D105,ShiftKnowledge!$A$2:$A$9,ShiftKnowledge!$H$2:$H$9,""),IFERROR(INDEX(ShiftKnowledge!$H$2:$H$9,MATCH($B105&amp;"|"&amp;$D105,ShiftKnowledge!$A$2:$A$9,0)),"")))</f>
        <v/>
      </c>
      <c r="L105" s="4">
        <f>IF($D105="Custom","",IFERROR(XLOOKUP($B105&amp;"|"&amp;$D105,ShiftKnowledge!$A$2:$A$9,ShiftKnowledge!$I$2:$I$9,""),IFERROR(INDEX(ShiftKnowledge!$I$2:$I$9,MATCH($B105&amp;"|"&amp;$D105,ShiftKnowledge!$A$2:$A$9,0)),"")))</f>
        <v/>
      </c>
      <c r="M105" s="4" t="inlineStr"/>
    </row>
    <row r="106" ht="20" customHeight="1">
      <c r="A106" s="6" t="inlineStr">
        <is>
          <t>10/11/2025</t>
        </is>
      </c>
      <c r="B106" s="6" t="inlineStr">
        <is>
          <t>Internal Medicine</t>
        </is>
      </c>
      <c r="C106" s="7" t="inlineStr">
        <is>
          <t>Dr. Cho Thway Mon</t>
        </is>
      </c>
      <c r="D106" s="6" t="inlineStr"/>
      <c r="E106" s="6">
        <f>IF($D106="Custom","",IFERROR(XLOOKUP($B106&amp;"|"&amp;$D106,ShiftKnowledge!$A$2:$A$9,ShiftKnowledge!$D$2:$D$9,""),IFERROR(INDEX(ShiftKnowledge!$D$2:$D$9,MATCH($B106&amp;"|"&amp;$D106,ShiftKnowledge!$A$2:$A$9,0)),"")))</f>
        <v/>
      </c>
      <c r="F106" s="6" t="inlineStr"/>
      <c r="G106" s="6">
        <f>IF(AND($I106="",$L106=""),"",IFERROR(VALUE($I106),0)+IFERROR(VALUE($L106),0))</f>
        <v/>
      </c>
      <c r="H106" s="6">
        <f>IF($D106="Custom","",IFERROR(XLOOKUP($B106&amp;"|"&amp;$D106,ShiftKnowledge!$A$2:$A$9,ShiftKnowledge!$E$2:$E$9,""),IFERROR(INDEX(ShiftKnowledge!$E$2:$E$9,MATCH($B106&amp;"|"&amp;$D106,ShiftKnowledge!$A$2:$A$9,0)),"")))</f>
        <v/>
      </c>
      <c r="I106" s="6">
        <f>IF($D106="Custom","",IFERROR(XLOOKUP($B106&amp;"|"&amp;$D106,ShiftKnowledge!$A$2:$A$9,ShiftKnowledge!$F$2:$F$9,""),IFERROR(INDEX(ShiftKnowledge!$F$2:$F$9,MATCH($B106&amp;"|"&amp;$D106,ShiftKnowledge!$A$2:$A$9,0)),"")))</f>
        <v/>
      </c>
      <c r="J106" s="6">
        <f>IF($D106="Custom","",IFERROR(XLOOKUP($B106&amp;"|"&amp;$D106,ShiftKnowledge!$A$2:$A$9,ShiftKnowledge!$G$2:$G$9,""),IFERROR(INDEX(ShiftKnowledge!$G$2:$G$9,MATCH($B106&amp;"|"&amp;$D106,ShiftKnowledge!$A$2:$A$9,0)),"")))</f>
        <v/>
      </c>
      <c r="K106" s="6">
        <f>IF($D106="Custom","",IFERROR(XLOOKUP($B106&amp;"|"&amp;$D106,ShiftKnowledge!$A$2:$A$9,ShiftKnowledge!$H$2:$H$9,""),IFERROR(INDEX(ShiftKnowledge!$H$2:$H$9,MATCH($B106&amp;"|"&amp;$D106,ShiftKnowledge!$A$2:$A$9,0)),"")))</f>
        <v/>
      </c>
      <c r="L106" s="6">
        <f>IF($D106="Custom","",IFERROR(XLOOKUP($B106&amp;"|"&amp;$D106,ShiftKnowledge!$A$2:$A$9,ShiftKnowledge!$I$2:$I$9,""),IFERROR(INDEX(ShiftKnowledge!$I$2:$I$9,MATCH($B106&amp;"|"&amp;$D106,ShiftKnowledge!$A$2:$A$9,0)),"")))</f>
        <v/>
      </c>
      <c r="M106" s="6" t="inlineStr"/>
    </row>
    <row r="107" ht="20" customHeight="1">
      <c r="A107" s="4" t="inlineStr">
        <is>
          <t>10/11/2025</t>
        </is>
      </c>
      <c r="B107" s="4" t="inlineStr">
        <is>
          <t>Orthopaedics</t>
        </is>
      </c>
      <c r="C107" s="5" t="inlineStr">
        <is>
          <t>Dr. Dinesh Kumar Pandit</t>
        </is>
      </c>
      <c r="D107" s="4" t="inlineStr"/>
      <c r="E107" s="4">
        <f>IF($D107="Custom","",IFERROR(XLOOKUP($B107&amp;"|"&amp;$D107,ShiftKnowledge!$A$2:$A$9,ShiftKnowledge!$D$2:$D$9,""),IFERROR(INDEX(ShiftKnowledge!$D$2:$D$9,MATCH($B107&amp;"|"&amp;$D107,ShiftKnowledge!$A$2:$A$9,0)),"")))</f>
        <v/>
      </c>
      <c r="F107" s="4" t="inlineStr"/>
      <c r="G107" s="4">
        <f>IF(AND($I107="",$L107=""),"",IFERROR(VALUE($I107),0)+IFERROR(VALUE($L107),0))</f>
        <v/>
      </c>
      <c r="H107" s="4">
        <f>IF($D107="Custom","",IFERROR(XLOOKUP($B107&amp;"|"&amp;$D107,ShiftKnowledge!$A$2:$A$9,ShiftKnowledge!$E$2:$E$9,""),IFERROR(INDEX(ShiftKnowledge!$E$2:$E$9,MATCH($B107&amp;"|"&amp;$D107,ShiftKnowledge!$A$2:$A$9,0)),"")))</f>
        <v/>
      </c>
      <c r="I107" s="4">
        <f>IF($D107="Custom","",IFERROR(XLOOKUP($B107&amp;"|"&amp;$D107,ShiftKnowledge!$A$2:$A$9,ShiftKnowledge!$F$2:$F$9,""),IFERROR(INDEX(ShiftKnowledge!$F$2:$F$9,MATCH($B107&amp;"|"&amp;$D107,ShiftKnowledge!$A$2:$A$9,0)),"")))</f>
        <v/>
      </c>
      <c r="J107" s="4">
        <f>IF($D107="Custom","",IFERROR(XLOOKUP($B107&amp;"|"&amp;$D107,ShiftKnowledge!$A$2:$A$9,ShiftKnowledge!$G$2:$G$9,""),IFERROR(INDEX(ShiftKnowledge!$G$2:$G$9,MATCH($B107&amp;"|"&amp;$D107,ShiftKnowledge!$A$2:$A$9,0)),"")))</f>
        <v/>
      </c>
      <c r="K107" s="4">
        <f>IF($D107="Custom","",IFERROR(XLOOKUP($B107&amp;"|"&amp;$D107,ShiftKnowledge!$A$2:$A$9,ShiftKnowledge!$H$2:$H$9,""),IFERROR(INDEX(ShiftKnowledge!$H$2:$H$9,MATCH($B107&amp;"|"&amp;$D107,ShiftKnowledge!$A$2:$A$9,0)),"")))</f>
        <v/>
      </c>
      <c r="L107" s="4">
        <f>IF($D107="Custom","",IFERROR(XLOOKUP($B107&amp;"|"&amp;$D107,ShiftKnowledge!$A$2:$A$9,ShiftKnowledge!$I$2:$I$9,""),IFERROR(INDEX(ShiftKnowledge!$I$2:$I$9,MATCH($B107&amp;"|"&amp;$D107,ShiftKnowledge!$A$2:$A$9,0)),"")))</f>
        <v/>
      </c>
      <c r="M107" s="4" t="inlineStr"/>
    </row>
    <row r="108" ht="20" customHeight="1">
      <c r="A108" s="6" t="inlineStr">
        <is>
          <t>10/11/2025</t>
        </is>
      </c>
      <c r="B108" s="6" t="inlineStr">
        <is>
          <t>Internal Medicine</t>
        </is>
      </c>
      <c r="C108" s="7" t="inlineStr">
        <is>
          <t>Dr. Ei Shwe Yee Myint</t>
        </is>
      </c>
      <c r="D108" s="6" t="inlineStr"/>
      <c r="E108" s="6">
        <f>IF($D108="Custom","",IFERROR(XLOOKUP($B108&amp;"|"&amp;$D108,ShiftKnowledge!$A$2:$A$9,ShiftKnowledge!$D$2:$D$9,""),IFERROR(INDEX(ShiftKnowledge!$D$2:$D$9,MATCH($B108&amp;"|"&amp;$D108,ShiftKnowledge!$A$2:$A$9,0)),"")))</f>
        <v/>
      </c>
      <c r="F108" s="6" t="inlineStr"/>
      <c r="G108" s="6">
        <f>IF(AND($I108="",$L108=""),"",IFERROR(VALUE($I108),0)+IFERROR(VALUE($L108),0))</f>
        <v/>
      </c>
      <c r="H108" s="6">
        <f>IF($D108="Custom","",IFERROR(XLOOKUP($B108&amp;"|"&amp;$D108,ShiftKnowledge!$A$2:$A$9,ShiftKnowledge!$E$2:$E$9,""),IFERROR(INDEX(ShiftKnowledge!$E$2:$E$9,MATCH($B108&amp;"|"&amp;$D108,ShiftKnowledge!$A$2:$A$9,0)),"")))</f>
        <v/>
      </c>
      <c r="I108" s="6">
        <f>IF($D108="Custom","",IFERROR(XLOOKUP($B108&amp;"|"&amp;$D108,ShiftKnowledge!$A$2:$A$9,ShiftKnowledge!$F$2:$F$9,""),IFERROR(INDEX(ShiftKnowledge!$F$2:$F$9,MATCH($B108&amp;"|"&amp;$D108,ShiftKnowledge!$A$2:$A$9,0)),"")))</f>
        <v/>
      </c>
      <c r="J108" s="6">
        <f>IF($D108="Custom","",IFERROR(XLOOKUP($B108&amp;"|"&amp;$D108,ShiftKnowledge!$A$2:$A$9,ShiftKnowledge!$G$2:$G$9,""),IFERROR(INDEX(ShiftKnowledge!$G$2:$G$9,MATCH($B108&amp;"|"&amp;$D108,ShiftKnowledge!$A$2:$A$9,0)),"")))</f>
        <v/>
      </c>
      <c r="K108" s="6">
        <f>IF($D108="Custom","",IFERROR(XLOOKUP($B108&amp;"|"&amp;$D108,ShiftKnowledge!$A$2:$A$9,ShiftKnowledge!$H$2:$H$9,""),IFERROR(INDEX(ShiftKnowledge!$H$2:$H$9,MATCH($B108&amp;"|"&amp;$D108,ShiftKnowledge!$A$2:$A$9,0)),"")))</f>
        <v/>
      </c>
      <c r="L108" s="6">
        <f>IF($D108="Custom","",IFERROR(XLOOKUP($B108&amp;"|"&amp;$D108,ShiftKnowledge!$A$2:$A$9,ShiftKnowledge!$I$2:$I$9,""),IFERROR(INDEX(ShiftKnowledge!$I$2:$I$9,MATCH($B108&amp;"|"&amp;$D108,ShiftKnowledge!$A$2:$A$9,0)),"")))</f>
        <v/>
      </c>
      <c r="M108" s="6" t="inlineStr"/>
    </row>
    <row r="109" ht="20" customHeight="1">
      <c r="A109" s="4" t="inlineStr">
        <is>
          <t>10/11/2025</t>
        </is>
      </c>
      <c r="B109" s="4" t="inlineStr">
        <is>
          <t>Internal Medicine</t>
        </is>
      </c>
      <c r="C109" s="5" t="inlineStr">
        <is>
          <t>Dr. Hatem Hassan Mohamed Abdelhafez</t>
        </is>
      </c>
      <c r="D109" s="4" t="inlineStr"/>
      <c r="E109" s="4">
        <f>IF($D109="Custom","",IFERROR(XLOOKUP($B109&amp;"|"&amp;$D109,ShiftKnowledge!$A$2:$A$9,ShiftKnowledge!$D$2:$D$9,""),IFERROR(INDEX(ShiftKnowledge!$D$2:$D$9,MATCH($B109&amp;"|"&amp;$D109,ShiftKnowledge!$A$2:$A$9,0)),"")))</f>
        <v/>
      </c>
      <c r="F109" s="4" t="inlineStr"/>
      <c r="G109" s="4">
        <f>IF(AND($I109="",$L109=""),"",IFERROR(VALUE($I109),0)+IFERROR(VALUE($L109),0))</f>
        <v/>
      </c>
      <c r="H109" s="4">
        <f>IF($D109="Custom","",IFERROR(XLOOKUP($B109&amp;"|"&amp;$D109,ShiftKnowledge!$A$2:$A$9,ShiftKnowledge!$E$2:$E$9,""),IFERROR(INDEX(ShiftKnowledge!$E$2:$E$9,MATCH($B109&amp;"|"&amp;$D109,ShiftKnowledge!$A$2:$A$9,0)),"")))</f>
        <v/>
      </c>
      <c r="I109" s="4">
        <f>IF($D109="Custom","",IFERROR(XLOOKUP($B109&amp;"|"&amp;$D109,ShiftKnowledge!$A$2:$A$9,ShiftKnowledge!$F$2:$F$9,""),IFERROR(INDEX(ShiftKnowledge!$F$2:$F$9,MATCH($B109&amp;"|"&amp;$D109,ShiftKnowledge!$A$2:$A$9,0)),"")))</f>
        <v/>
      </c>
      <c r="J109" s="4">
        <f>IF($D109="Custom","",IFERROR(XLOOKUP($B109&amp;"|"&amp;$D109,ShiftKnowledge!$A$2:$A$9,ShiftKnowledge!$G$2:$G$9,""),IFERROR(INDEX(ShiftKnowledge!$G$2:$G$9,MATCH($B109&amp;"|"&amp;$D109,ShiftKnowledge!$A$2:$A$9,0)),"")))</f>
        <v/>
      </c>
      <c r="K109" s="4">
        <f>IF($D109="Custom","",IFERROR(XLOOKUP($B109&amp;"|"&amp;$D109,ShiftKnowledge!$A$2:$A$9,ShiftKnowledge!$H$2:$H$9,""),IFERROR(INDEX(ShiftKnowledge!$H$2:$H$9,MATCH($B109&amp;"|"&amp;$D109,ShiftKnowledge!$A$2:$A$9,0)),"")))</f>
        <v/>
      </c>
      <c r="L109" s="4">
        <f>IF($D109="Custom","",IFERROR(XLOOKUP($B109&amp;"|"&amp;$D109,ShiftKnowledge!$A$2:$A$9,ShiftKnowledge!$I$2:$I$9,""),IFERROR(INDEX(ShiftKnowledge!$I$2:$I$9,MATCH($B109&amp;"|"&amp;$D109,ShiftKnowledge!$A$2:$A$9,0)),"")))</f>
        <v/>
      </c>
      <c r="M109" s="4" t="inlineStr"/>
    </row>
    <row r="110" ht="20" customHeight="1">
      <c r="A110" s="6" t="inlineStr">
        <is>
          <t>10/11/2025</t>
        </is>
      </c>
      <c r="B110" s="6" t="inlineStr">
        <is>
          <t>Gynaecology</t>
        </is>
      </c>
      <c r="C110" s="7" t="inlineStr">
        <is>
          <t>Dr. Hawwa Inaya</t>
        </is>
      </c>
      <c r="D110" s="6" t="inlineStr"/>
      <c r="E110" s="6">
        <f>IF($D110="Custom","",IFERROR(XLOOKUP($B110&amp;"|"&amp;$D110,ShiftKnowledge!$A$2:$A$9,ShiftKnowledge!$D$2:$D$9,""),IFERROR(INDEX(ShiftKnowledge!$D$2:$D$9,MATCH($B110&amp;"|"&amp;$D110,ShiftKnowledge!$A$2:$A$9,0)),"")))</f>
        <v/>
      </c>
      <c r="F110" s="6" t="inlineStr"/>
      <c r="G110" s="6">
        <f>IF(AND($I110="",$L110=""),"",IFERROR(VALUE($I110),0)+IFERROR(VALUE($L110),0))</f>
        <v/>
      </c>
      <c r="H110" s="6">
        <f>IF($D110="Custom","",IFERROR(XLOOKUP($B110&amp;"|"&amp;$D110,ShiftKnowledge!$A$2:$A$9,ShiftKnowledge!$E$2:$E$9,""),IFERROR(INDEX(ShiftKnowledge!$E$2:$E$9,MATCH($B110&amp;"|"&amp;$D110,ShiftKnowledge!$A$2:$A$9,0)),"")))</f>
        <v/>
      </c>
      <c r="I110" s="6">
        <f>IF($D110="Custom","",IFERROR(XLOOKUP($B110&amp;"|"&amp;$D110,ShiftKnowledge!$A$2:$A$9,ShiftKnowledge!$F$2:$F$9,""),IFERROR(INDEX(ShiftKnowledge!$F$2:$F$9,MATCH($B110&amp;"|"&amp;$D110,ShiftKnowledge!$A$2:$A$9,0)),"")))</f>
        <v/>
      </c>
      <c r="J110" s="6">
        <f>IF($D110="Custom","",IFERROR(XLOOKUP($B110&amp;"|"&amp;$D110,ShiftKnowledge!$A$2:$A$9,ShiftKnowledge!$G$2:$G$9,""),IFERROR(INDEX(ShiftKnowledge!$G$2:$G$9,MATCH($B110&amp;"|"&amp;$D110,ShiftKnowledge!$A$2:$A$9,0)),"")))</f>
        <v/>
      </c>
      <c r="K110" s="6">
        <f>IF($D110="Custom","",IFERROR(XLOOKUP($B110&amp;"|"&amp;$D110,ShiftKnowledge!$A$2:$A$9,ShiftKnowledge!$H$2:$H$9,""),IFERROR(INDEX(ShiftKnowledge!$H$2:$H$9,MATCH($B110&amp;"|"&amp;$D110,ShiftKnowledge!$A$2:$A$9,0)),"")))</f>
        <v/>
      </c>
      <c r="L110" s="6">
        <f>IF($D110="Custom","",IFERROR(XLOOKUP($B110&amp;"|"&amp;$D110,ShiftKnowledge!$A$2:$A$9,ShiftKnowledge!$I$2:$I$9,""),IFERROR(INDEX(ShiftKnowledge!$I$2:$I$9,MATCH($B110&amp;"|"&amp;$D110,ShiftKnowledge!$A$2:$A$9,0)),"")))</f>
        <v/>
      </c>
      <c r="M110" s="6" t="inlineStr"/>
    </row>
    <row r="111" ht="20" customHeight="1">
      <c r="A111" s="4" t="inlineStr">
        <is>
          <t>10/11/2025</t>
        </is>
      </c>
      <c r="B111" s="4" t="inlineStr">
        <is>
          <t>Gynaecology</t>
        </is>
      </c>
      <c r="C111" s="5" t="inlineStr">
        <is>
          <t>Dr. Joshila Chanu Yumnam Bhattarai</t>
        </is>
      </c>
      <c r="D111" s="4" t="inlineStr"/>
      <c r="E111" s="4">
        <f>IF($D111="Custom","",IFERROR(XLOOKUP($B111&amp;"|"&amp;$D111,ShiftKnowledge!$A$2:$A$9,ShiftKnowledge!$D$2:$D$9,""),IFERROR(INDEX(ShiftKnowledge!$D$2:$D$9,MATCH($B111&amp;"|"&amp;$D111,ShiftKnowledge!$A$2:$A$9,0)),"")))</f>
        <v/>
      </c>
      <c r="F111" s="4" t="inlineStr"/>
      <c r="G111" s="4">
        <f>IF(AND($I111="",$L111=""),"",IFERROR(VALUE($I111),0)+IFERROR(VALUE($L111),0))</f>
        <v/>
      </c>
      <c r="H111" s="4">
        <f>IF($D111="Custom","",IFERROR(XLOOKUP($B111&amp;"|"&amp;$D111,ShiftKnowledge!$A$2:$A$9,ShiftKnowledge!$E$2:$E$9,""),IFERROR(INDEX(ShiftKnowledge!$E$2:$E$9,MATCH($B111&amp;"|"&amp;$D111,ShiftKnowledge!$A$2:$A$9,0)),"")))</f>
        <v/>
      </c>
      <c r="I111" s="4">
        <f>IF($D111="Custom","",IFERROR(XLOOKUP($B111&amp;"|"&amp;$D111,ShiftKnowledge!$A$2:$A$9,ShiftKnowledge!$F$2:$F$9,""),IFERROR(INDEX(ShiftKnowledge!$F$2:$F$9,MATCH($B111&amp;"|"&amp;$D111,ShiftKnowledge!$A$2:$A$9,0)),"")))</f>
        <v/>
      </c>
      <c r="J111" s="4">
        <f>IF($D111="Custom","",IFERROR(XLOOKUP($B111&amp;"|"&amp;$D111,ShiftKnowledge!$A$2:$A$9,ShiftKnowledge!$G$2:$G$9,""),IFERROR(INDEX(ShiftKnowledge!$G$2:$G$9,MATCH($B111&amp;"|"&amp;$D111,ShiftKnowledge!$A$2:$A$9,0)),"")))</f>
        <v/>
      </c>
      <c r="K111" s="4">
        <f>IF($D111="Custom","",IFERROR(XLOOKUP($B111&amp;"|"&amp;$D111,ShiftKnowledge!$A$2:$A$9,ShiftKnowledge!$H$2:$H$9,""),IFERROR(INDEX(ShiftKnowledge!$H$2:$H$9,MATCH($B111&amp;"|"&amp;$D111,ShiftKnowledge!$A$2:$A$9,0)),"")))</f>
        <v/>
      </c>
      <c r="L111" s="4">
        <f>IF($D111="Custom","",IFERROR(XLOOKUP($B111&amp;"|"&amp;$D111,ShiftKnowledge!$A$2:$A$9,ShiftKnowledge!$I$2:$I$9,""),IFERROR(INDEX(ShiftKnowledge!$I$2:$I$9,MATCH($B111&amp;"|"&amp;$D111,ShiftKnowledge!$A$2:$A$9,0)),"")))</f>
        <v/>
      </c>
      <c r="M111" s="4" t="inlineStr"/>
    </row>
    <row r="112" ht="20" customHeight="1">
      <c r="A112" s="6" t="inlineStr">
        <is>
          <t>10/11/2025</t>
        </is>
      </c>
      <c r="B112" s="6" t="inlineStr">
        <is>
          <t>Gynaecology</t>
        </is>
      </c>
      <c r="C112" s="7" t="inlineStr">
        <is>
          <t>Dr. Jumailath Beygum</t>
        </is>
      </c>
      <c r="D112" s="6" t="inlineStr"/>
      <c r="E112" s="6">
        <f>IF($D112="Custom","",IFERROR(XLOOKUP($B112&amp;"|"&amp;$D112,ShiftKnowledge!$A$2:$A$9,ShiftKnowledge!$D$2:$D$9,""),IFERROR(INDEX(ShiftKnowledge!$D$2:$D$9,MATCH($B112&amp;"|"&amp;$D112,ShiftKnowledge!$A$2:$A$9,0)),"")))</f>
        <v/>
      </c>
      <c r="F112" s="6" t="inlineStr"/>
      <c r="G112" s="6">
        <f>IF(AND($I112="",$L112=""),"",IFERROR(VALUE($I112),0)+IFERROR(VALUE($L112),0))</f>
        <v/>
      </c>
      <c r="H112" s="6">
        <f>IF($D112="Custom","",IFERROR(XLOOKUP($B112&amp;"|"&amp;$D112,ShiftKnowledge!$A$2:$A$9,ShiftKnowledge!$E$2:$E$9,""),IFERROR(INDEX(ShiftKnowledge!$E$2:$E$9,MATCH($B112&amp;"|"&amp;$D112,ShiftKnowledge!$A$2:$A$9,0)),"")))</f>
        <v/>
      </c>
      <c r="I112" s="6">
        <f>IF($D112="Custom","",IFERROR(XLOOKUP($B112&amp;"|"&amp;$D112,ShiftKnowledge!$A$2:$A$9,ShiftKnowledge!$F$2:$F$9,""),IFERROR(INDEX(ShiftKnowledge!$F$2:$F$9,MATCH($B112&amp;"|"&amp;$D112,ShiftKnowledge!$A$2:$A$9,0)),"")))</f>
        <v/>
      </c>
      <c r="J112" s="6">
        <f>IF($D112="Custom","",IFERROR(XLOOKUP($B112&amp;"|"&amp;$D112,ShiftKnowledge!$A$2:$A$9,ShiftKnowledge!$G$2:$G$9,""),IFERROR(INDEX(ShiftKnowledge!$G$2:$G$9,MATCH($B112&amp;"|"&amp;$D112,ShiftKnowledge!$A$2:$A$9,0)),"")))</f>
        <v/>
      </c>
      <c r="K112" s="6">
        <f>IF($D112="Custom","",IFERROR(XLOOKUP($B112&amp;"|"&amp;$D112,ShiftKnowledge!$A$2:$A$9,ShiftKnowledge!$H$2:$H$9,""),IFERROR(INDEX(ShiftKnowledge!$H$2:$H$9,MATCH($B112&amp;"|"&amp;$D112,ShiftKnowledge!$A$2:$A$9,0)),"")))</f>
        <v/>
      </c>
      <c r="L112" s="6">
        <f>IF($D112="Custom","",IFERROR(XLOOKUP($B112&amp;"|"&amp;$D112,ShiftKnowledge!$A$2:$A$9,ShiftKnowledge!$I$2:$I$9,""),IFERROR(INDEX(ShiftKnowledge!$I$2:$I$9,MATCH($B112&amp;"|"&amp;$D112,ShiftKnowledge!$A$2:$A$9,0)),"")))</f>
        <v/>
      </c>
      <c r="M112" s="6" t="inlineStr"/>
    </row>
    <row r="113" ht="20" customHeight="1">
      <c r="A113" s="4" t="inlineStr">
        <is>
          <t>10/11/2025</t>
        </is>
      </c>
      <c r="B113" s="4" t="inlineStr">
        <is>
          <t>General Surgery</t>
        </is>
      </c>
      <c r="C113" s="5" t="inlineStr">
        <is>
          <t>Dr. Khine Su Kyi</t>
        </is>
      </c>
      <c r="D113" s="4" t="inlineStr"/>
      <c r="E113" s="4">
        <f>IF($D113="Custom","",IFERROR(XLOOKUP($B113&amp;"|"&amp;$D113,ShiftKnowledge!$A$2:$A$9,ShiftKnowledge!$D$2:$D$9,""),IFERROR(INDEX(ShiftKnowledge!$D$2:$D$9,MATCH($B113&amp;"|"&amp;$D113,ShiftKnowledge!$A$2:$A$9,0)),"")))</f>
        <v/>
      </c>
      <c r="F113" s="4" t="inlineStr"/>
      <c r="G113" s="4">
        <f>IF(AND($I113="",$L113=""),"",IFERROR(VALUE($I113),0)+IFERROR(VALUE($L113),0))</f>
        <v/>
      </c>
      <c r="H113" s="4">
        <f>IF($D113="Custom","",IFERROR(XLOOKUP($B113&amp;"|"&amp;$D113,ShiftKnowledge!$A$2:$A$9,ShiftKnowledge!$E$2:$E$9,""),IFERROR(INDEX(ShiftKnowledge!$E$2:$E$9,MATCH($B113&amp;"|"&amp;$D113,ShiftKnowledge!$A$2:$A$9,0)),"")))</f>
        <v/>
      </c>
      <c r="I113" s="4">
        <f>IF($D113="Custom","",IFERROR(XLOOKUP($B113&amp;"|"&amp;$D113,ShiftKnowledge!$A$2:$A$9,ShiftKnowledge!$F$2:$F$9,""),IFERROR(INDEX(ShiftKnowledge!$F$2:$F$9,MATCH($B113&amp;"|"&amp;$D113,ShiftKnowledge!$A$2:$A$9,0)),"")))</f>
        <v/>
      </c>
      <c r="J113" s="4">
        <f>IF($D113="Custom","",IFERROR(XLOOKUP($B113&amp;"|"&amp;$D113,ShiftKnowledge!$A$2:$A$9,ShiftKnowledge!$G$2:$G$9,""),IFERROR(INDEX(ShiftKnowledge!$G$2:$G$9,MATCH($B113&amp;"|"&amp;$D113,ShiftKnowledge!$A$2:$A$9,0)),"")))</f>
        <v/>
      </c>
      <c r="K113" s="4">
        <f>IF($D113="Custom","",IFERROR(XLOOKUP($B113&amp;"|"&amp;$D113,ShiftKnowledge!$A$2:$A$9,ShiftKnowledge!$H$2:$H$9,""),IFERROR(INDEX(ShiftKnowledge!$H$2:$H$9,MATCH($B113&amp;"|"&amp;$D113,ShiftKnowledge!$A$2:$A$9,0)),"")))</f>
        <v/>
      </c>
      <c r="L113" s="4">
        <f>IF($D113="Custom","",IFERROR(XLOOKUP($B113&amp;"|"&amp;$D113,ShiftKnowledge!$A$2:$A$9,ShiftKnowledge!$I$2:$I$9,""),IFERROR(INDEX(ShiftKnowledge!$I$2:$I$9,MATCH($B113&amp;"|"&amp;$D113,ShiftKnowledge!$A$2:$A$9,0)),"")))</f>
        <v/>
      </c>
      <c r="M113" s="4" t="inlineStr"/>
    </row>
    <row r="114" ht="20" customHeight="1">
      <c r="A114" s="6" t="inlineStr">
        <is>
          <t>10/11/2025</t>
        </is>
      </c>
      <c r="B114" s="6" t="inlineStr">
        <is>
          <t>Dental</t>
        </is>
      </c>
      <c r="C114" s="7" t="inlineStr">
        <is>
          <t>Dr. Mariyam Afza Zuhair</t>
        </is>
      </c>
      <c r="D114" s="6" t="inlineStr"/>
      <c r="E114" s="6">
        <f>IF($D114="Custom","",IFERROR(XLOOKUP($B114&amp;"|"&amp;$D114,ShiftKnowledge!$A$2:$A$9,ShiftKnowledge!$D$2:$D$9,""),IFERROR(INDEX(ShiftKnowledge!$D$2:$D$9,MATCH($B114&amp;"|"&amp;$D114,ShiftKnowledge!$A$2:$A$9,0)),"")))</f>
        <v/>
      </c>
      <c r="F114" s="6" t="inlineStr"/>
      <c r="G114" s="6">
        <f>IF(AND($I114="",$L114=""),"",IFERROR(VALUE($I114),0)+IFERROR(VALUE($L114),0))</f>
        <v/>
      </c>
      <c r="H114" s="6">
        <f>IF($D114="Custom","",IFERROR(XLOOKUP($B114&amp;"|"&amp;$D114,ShiftKnowledge!$A$2:$A$9,ShiftKnowledge!$E$2:$E$9,""),IFERROR(INDEX(ShiftKnowledge!$E$2:$E$9,MATCH($B114&amp;"|"&amp;$D114,ShiftKnowledge!$A$2:$A$9,0)),"")))</f>
        <v/>
      </c>
      <c r="I114" s="6">
        <f>IF($D114="Custom","",IFERROR(XLOOKUP($B114&amp;"|"&amp;$D114,ShiftKnowledge!$A$2:$A$9,ShiftKnowledge!$F$2:$F$9,""),IFERROR(INDEX(ShiftKnowledge!$F$2:$F$9,MATCH($B114&amp;"|"&amp;$D114,ShiftKnowledge!$A$2:$A$9,0)),"")))</f>
        <v/>
      </c>
      <c r="J114" s="6">
        <f>IF($D114="Custom","",IFERROR(XLOOKUP($B114&amp;"|"&amp;$D114,ShiftKnowledge!$A$2:$A$9,ShiftKnowledge!$G$2:$G$9,""),IFERROR(INDEX(ShiftKnowledge!$G$2:$G$9,MATCH($B114&amp;"|"&amp;$D114,ShiftKnowledge!$A$2:$A$9,0)),"")))</f>
        <v/>
      </c>
      <c r="K114" s="6">
        <f>IF($D114="Custom","",IFERROR(XLOOKUP($B114&amp;"|"&amp;$D114,ShiftKnowledge!$A$2:$A$9,ShiftKnowledge!$H$2:$H$9,""),IFERROR(INDEX(ShiftKnowledge!$H$2:$H$9,MATCH($B114&amp;"|"&amp;$D114,ShiftKnowledge!$A$2:$A$9,0)),"")))</f>
        <v/>
      </c>
      <c r="L114" s="6">
        <f>IF($D114="Custom","",IFERROR(XLOOKUP($B114&amp;"|"&amp;$D114,ShiftKnowledge!$A$2:$A$9,ShiftKnowledge!$I$2:$I$9,""),IFERROR(INDEX(ShiftKnowledge!$I$2:$I$9,MATCH($B114&amp;"|"&amp;$D114,ShiftKnowledge!$A$2:$A$9,0)),"")))</f>
        <v/>
      </c>
      <c r="M114" s="6" t="inlineStr"/>
    </row>
    <row r="115" ht="20" customHeight="1">
      <c r="A115" s="4" t="inlineStr">
        <is>
          <t>10/11/2025</t>
        </is>
      </c>
      <c r="B115" s="4" t="inlineStr">
        <is>
          <t>Psychiatry</t>
        </is>
      </c>
      <c r="C115" s="5" t="inlineStr">
        <is>
          <t>Dr. Maumoon Shareef</t>
        </is>
      </c>
      <c r="D115" s="4" t="inlineStr"/>
      <c r="E115" s="4">
        <f>IF($D115="Custom","",IFERROR(XLOOKUP($B115&amp;"|"&amp;$D115,ShiftKnowledge!$A$2:$A$9,ShiftKnowledge!$D$2:$D$9,""),IFERROR(INDEX(ShiftKnowledge!$D$2:$D$9,MATCH($B115&amp;"|"&amp;$D115,ShiftKnowledge!$A$2:$A$9,0)),"")))</f>
        <v/>
      </c>
      <c r="F115" s="4" t="inlineStr"/>
      <c r="G115" s="4">
        <f>IF(AND($I115="",$L115=""),"",IFERROR(VALUE($I115),0)+IFERROR(VALUE($L115),0))</f>
        <v/>
      </c>
      <c r="H115" s="4">
        <f>IF($D115="Custom","",IFERROR(XLOOKUP($B115&amp;"|"&amp;$D115,ShiftKnowledge!$A$2:$A$9,ShiftKnowledge!$E$2:$E$9,""),IFERROR(INDEX(ShiftKnowledge!$E$2:$E$9,MATCH($B115&amp;"|"&amp;$D115,ShiftKnowledge!$A$2:$A$9,0)),"")))</f>
        <v/>
      </c>
      <c r="I115" s="4">
        <f>IF($D115="Custom","",IFERROR(XLOOKUP($B115&amp;"|"&amp;$D115,ShiftKnowledge!$A$2:$A$9,ShiftKnowledge!$F$2:$F$9,""),IFERROR(INDEX(ShiftKnowledge!$F$2:$F$9,MATCH($B115&amp;"|"&amp;$D115,ShiftKnowledge!$A$2:$A$9,0)),"")))</f>
        <v/>
      </c>
      <c r="J115" s="4">
        <f>IF($D115="Custom","",IFERROR(XLOOKUP($B115&amp;"|"&amp;$D115,ShiftKnowledge!$A$2:$A$9,ShiftKnowledge!$G$2:$G$9,""),IFERROR(INDEX(ShiftKnowledge!$G$2:$G$9,MATCH($B115&amp;"|"&amp;$D115,ShiftKnowledge!$A$2:$A$9,0)),"")))</f>
        <v/>
      </c>
      <c r="K115" s="4">
        <f>IF($D115="Custom","",IFERROR(XLOOKUP($B115&amp;"|"&amp;$D115,ShiftKnowledge!$A$2:$A$9,ShiftKnowledge!$H$2:$H$9,""),IFERROR(INDEX(ShiftKnowledge!$H$2:$H$9,MATCH($B115&amp;"|"&amp;$D115,ShiftKnowledge!$A$2:$A$9,0)),"")))</f>
        <v/>
      </c>
      <c r="L115" s="4">
        <f>IF($D115="Custom","",IFERROR(XLOOKUP($B115&amp;"|"&amp;$D115,ShiftKnowledge!$A$2:$A$9,ShiftKnowledge!$I$2:$I$9,""),IFERROR(INDEX(ShiftKnowledge!$I$2:$I$9,MATCH($B115&amp;"|"&amp;$D115,ShiftKnowledge!$A$2:$A$9,0)),"")))</f>
        <v/>
      </c>
      <c r="M115" s="4" t="inlineStr"/>
    </row>
    <row r="116" ht="20" customHeight="1">
      <c r="A116" s="6" t="inlineStr">
        <is>
          <t>10/11/2025</t>
        </is>
      </c>
      <c r="B116" s="6" t="inlineStr">
        <is>
          <t>Internal Medicine</t>
        </is>
      </c>
      <c r="C116" s="7" t="inlineStr">
        <is>
          <t>Dr. Mihuna Ibrahim</t>
        </is>
      </c>
      <c r="D116" s="6" t="inlineStr"/>
      <c r="E116" s="6">
        <f>IF($D116="Custom","",IFERROR(XLOOKUP($B116&amp;"|"&amp;$D116,ShiftKnowledge!$A$2:$A$9,ShiftKnowledge!$D$2:$D$9,""),IFERROR(INDEX(ShiftKnowledge!$D$2:$D$9,MATCH($B116&amp;"|"&amp;$D116,ShiftKnowledge!$A$2:$A$9,0)),"")))</f>
        <v/>
      </c>
      <c r="F116" s="6" t="inlineStr"/>
      <c r="G116" s="6">
        <f>IF(AND($I116="",$L116=""),"",IFERROR(VALUE($I116),0)+IFERROR(VALUE($L116),0))</f>
        <v/>
      </c>
      <c r="H116" s="6">
        <f>IF($D116="Custom","",IFERROR(XLOOKUP($B116&amp;"|"&amp;$D116,ShiftKnowledge!$A$2:$A$9,ShiftKnowledge!$E$2:$E$9,""),IFERROR(INDEX(ShiftKnowledge!$E$2:$E$9,MATCH($B116&amp;"|"&amp;$D116,ShiftKnowledge!$A$2:$A$9,0)),"")))</f>
        <v/>
      </c>
      <c r="I116" s="6">
        <f>IF($D116="Custom","",IFERROR(XLOOKUP($B116&amp;"|"&amp;$D116,ShiftKnowledge!$A$2:$A$9,ShiftKnowledge!$F$2:$F$9,""),IFERROR(INDEX(ShiftKnowledge!$F$2:$F$9,MATCH($B116&amp;"|"&amp;$D116,ShiftKnowledge!$A$2:$A$9,0)),"")))</f>
        <v/>
      </c>
      <c r="J116" s="6">
        <f>IF($D116="Custom","",IFERROR(XLOOKUP($B116&amp;"|"&amp;$D116,ShiftKnowledge!$A$2:$A$9,ShiftKnowledge!$G$2:$G$9,""),IFERROR(INDEX(ShiftKnowledge!$G$2:$G$9,MATCH($B116&amp;"|"&amp;$D116,ShiftKnowledge!$A$2:$A$9,0)),"")))</f>
        <v/>
      </c>
      <c r="K116" s="6">
        <f>IF($D116="Custom","",IFERROR(XLOOKUP($B116&amp;"|"&amp;$D116,ShiftKnowledge!$A$2:$A$9,ShiftKnowledge!$H$2:$H$9,""),IFERROR(INDEX(ShiftKnowledge!$H$2:$H$9,MATCH($B116&amp;"|"&amp;$D116,ShiftKnowledge!$A$2:$A$9,0)),"")))</f>
        <v/>
      </c>
      <c r="L116" s="6">
        <f>IF($D116="Custom","",IFERROR(XLOOKUP($B116&amp;"|"&amp;$D116,ShiftKnowledge!$A$2:$A$9,ShiftKnowledge!$I$2:$I$9,""),IFERROR(INDEX(ShiftKnowledge!$I$2:$I$9,MATCH($B116&amp;"|"&amp;$D116,ShiftKnowledge!$A$2:$A$9,0)),"")))</f>
        <v/>
      </c>
      <c r="M116" s="6" t="inlineStr"/>
    </row>
    <row r="117" ht="20" customHeight="1">
      <c r="A117" s="4" t="inlineStr">
        <is>
          <t>10/11/2025</t>
        </is>
      </c>
      <c r="B117" s="4" t="inlineStr">
        <is>
          <t>Endocrinology</t>
        </is>
      </c>
      <c r="C117" s="5" t="inlineStr">
        <is>
          <t>Dr. Mohamed Wisham</t>
        </is>
      </c>
      <c r="D117" s="4" t="inlineStr"/>
      <c r="E117" s="4">
        <f>IF($D117="Custom","",IFERROR(XLOOKUP($B117&amp;"|"&amp;$D117,ShiftKnowledge!$A$2:$A$9,ShiftKnowledge!$D$2:$D$9,""),IFERROR(INDEX(ShiftKnowledge!$D$2:$D$9,MATCH($B117&amp;"|"&amp;$D117,ShiftKnowledge!$A$2:$A$9,0)),"")))</f>
        <v/>
      </c>
      <c r="F117" s="4" t="inlineStr"/>
      <c r="G117" s="4">
        <f>IF(AND($I117="",$L117=""),"",IFERROR(VALUE($I117),0)+IFERROR(VALUE($L117),0))</f>
        <v/>
      </c>
      <c r="H117" s="4">
        <f>IF($D117="Custom","",IFERROR(XLOOKUP($B117&amp;"|"&amp;$D117,ShiftKnowledge!$A$2:$A$9,ShiftKnowledge!$E$2:$E$9,""),IFERROR(INDEX(ShiftKnowledge!$E$2:$E$9,MATCH($B117&amp;"|"&amp;$D117,ShiftKnowledge!$A$2:$A$9,0)),"")))</f>
        <v/>
      </c>
      <c r="I117" s="4">
        <f>IF($D117="Custom","",IFERROR(XLOOKUP($B117&amp;"|"&amp;$D117,ShiftKnowledge!$A$2:$A$9,ShiftKnowledge!$F$2:$F$9,""),IFERROR(INDEX(ShiftKnowledge!$F$2:$F$9,MATCH($B117&amp;"|"&amp;$D117,ShiftKnowledge!$A$2:$A$9,0)),"")))</f>
        <v/>
      </c>
      <c r="J117" s="4">
        <f>IF($D117="Custom","",IFERROR(XLOOKUP($B117&amp;"|"&amp;$D117,ShiftKnowledge!$A$2:$A$9,ShiftKnowledge!$G$2:$G$9,""),IFERROR(INDEX(ShiftKnowledge!$G$2:$G$9,MATCH($B117&amp;"|"&amp;$D117,ShiftKnowledge!$A$2:$A$9,0)),"")))</f>
        <v/>
      </c>
      <c r="K117" s="4">
        <f>IF($D117="Custom","",IFERROR(XLOOKUP($B117&amp;"|"&amp;$D117,ShiftKnowledge!$A$2:$A$9,ShiftKnowledge!$H$2:$H$9,""),IFERROR(INDEX(ShiftKnowledge!$H$2:$H$9,MATCH($B117&amp;"|"&amp;$D117,ShiftKnowledge!$A$2:$A$9,0)),"")))</f>
        <v/>
      </c>
      <c r="L117" s="4">
        <f>IF($D117="Custom","",IFERROR(XLOOKUP($B117&amp;"|"&amp;$D117,ShiftKnowledge!$A$2:$A$9,ShiftKnowledge!$I$2:$I$9,""),IFERROR(INDEX(ShiftKnowledge!$I$2:$I$9,MATCH($B117&amp;"|"&amp;$D117,ShiftKnowledge!$A$2:$A$9,0)),"")))</f>
        <v/>
      </c>
      <c r="M117" s="4" t="inlineStr"/>
    </row>
    <row r="118" ht="20" customHeight="1">
      <c r="A118" s="6" t="inlineStr">
        <is>
          <t>10/11/2025</t>
        </is>
      </c>
      <c r="B118" s="6" t="inlineStr">
        <is>
          <t>Cardiology</t>
        </is>
      </c>
      <c r="C118" s="7" t="inlineStr">
        <is>
          <t>Dr. Moosa Manik</t>
        </is>
      </c>
      <c r="D118" s="6" t="inlineStr"/>
      <c r="E118" s="6">
        <f>IF($D118="Custom","",IFERROR(XLOOKUP($B118&amp;"|"&amp;$D118,ShiftKnowledge!$A$2:$A$9,ShiftKnowledge!$D$2:$D$9,""),IFERROR(INDEX(ShiftKnowledge!$D$2:$D$9,MATCH($B118&amp;"|"&amp;$D118,ShiftKnowledge!$A$2:$A$9,0)),"")))</f>
        <v/>
      </c>
      <c r="F118" s="6" t="inlineStr"/>
      <c r="G118" s="6">
        <f>IF(AND($I118="",$L118=""),"",IFERROR(VALUE($I118),0)+IFERROR(VALUE($L118),0))</f>
        <v/>
      </c>
      <c r="H118" s="6">
        <f>IF($D118="Custom","",IFERROR(XLOOKUP($B118&amp;"|"&amp;$D118,ShiftKnowledge!$A$2:$A$9,ShiftKnowledge!$E$2:$E$9,""),IFERROR(INDEX(ShiftKnowledge!$E$2:$E$9,MATCH($B118&amp;"|"&amp;$D118,ShiftKnowledge!$A$2:$A$9,0)),"")))</f>
        <v/>
      </c>
      <c r="I118" s="6">
        <f>IF($D118="Custom","",IFERROR(XLOOKUP($B118&amp;"|"&amp;$D118,ShiftKnowledge!$A$2:$A$9,ShiftKnowledge!$F$2:$F$9,""),IFERROR(INDEX(ShiftKnowledge!$F$2:$F$9,MATCH($B118&amp;"|"&amp;$D118,ShiftKnowledge!$A$2:$A$9,0)),"")))</f>
        <v/>
      </c>
      <c r="J118" s="6">
        <f>IF($D118="Custom","",IFERROR(XLOOKUP($B118&amp;"|"&amp;$D118,ShiftKnowledge!$A$2:$A$9,ShiftKnowledge!$G$2:$G$9,""),IFERROR(INDEX(ShiftKnowledge!$G$2:$G$9,MATCH($B118&amp;"|"&amp;$D118,ShiftKnowledge!$A$2:$A$9,0)),"")))</f>
        <v/>
      </c>
      <c r="K118" s="6">
        <f>IF($D118="Custom","",IFERROR(XLOOKUP($B118&amp;"|"&amp;$D118,ShiftKnowledge!$A$2:$A$9,ShiftKnowledge!$H$2:$H$9,""),IFERROR(INDEX(ShiftKnowledge!$H$2:$H$9,MATCH($B118&amp;"|"&amp;$D118,ShiftKnowledge!$A$2:$A$9,0)),"")))</f>
        <v/>
      </c>
      <c r="L118" s="6">
        <f>IF($D118="Custom","",IFERROR(XLOOKUP($B118&amp;"|"&amp;$D118,ShiftKnowledge!$A$2:$A$9,ShiftKnowledge!$I$2:$I$9,""),IFERROR(INDEX(ShiftKnowledge!$I$2:$I$9,MATCH($B118&amp;"|"&amp;$D118,ShiftKnowledge!$A$2:$A$9,0)),"")))</f>
        <v/>
      </c>
      <c r="M118" s="6" t="inlineStr"/>
    </row>
    <row r="119" ht="20" customHeight="1">
      <c r="A119" s="4" t="inlineStr">
        <is>
          <t>10/11/2025</t>
        </is>
      </c>
      <c r="B119" s="4" t="inlineStr">
        <is>
          <t>Nephrology</t>
        </is>
      </c>
      <c r="C119" s="5" t="inlineStr">
        <is>
          <t>Dr. Muhammad Mujtaba Ur Rehman</t>
        </is>
      </c>
      <c r="D119" s="4" t="inlineStr"/>
      <c r="E119" s="4">
        <f>IF($D119="Custom","",IFERROR(XLOOKUP($B119&amp;"|"&amp;$D119,ShiftKnowledge!$A$2:$A$9,ShiftKnowledge!$D$2:$D$9,""),IFERROR(INDEX(ShiftKnowledge!$D$2:$D$9,MATCH($B119&amp;"|"&amp;$D119,ShiftKnowledge!$A$2:$A$9,0)),"")))</f>
        <v/>
      </c>
      <c r="F119" s="4" t="inlineStr"/>
      <c r="G119" s="4">
        <f>IF(AND($I119="",$L119=""),"",IFERROR(VALUE($I119),0)+IFERROR(VALUE($L119),0))</f>
        <v/>
      </c>
      <c r="H119" s="4">
        <f>IF($D119="Custom","",IFERROR(XLOOKUP($B119&amp;"|"&amp;$D119,ShiftKnowledge!$A$2:$A$9,ShiftKnowledge!$E$2:$E$9,""),IFERROR(INDEX(ShiftKnowledge!$E$2:$E$9,MATCH($B119&amp;"|"&amp;$D119,ShiftKnowledge!$A$2:$A$9,0)),"")))</f>
        <v/>
      </c>
      <c r="I119" s="4">
        <f>IF($D119="Custom","",IFERROR(XLOOKUP($B119&amp;"|"&amp;$D119,ShiftKnowledge!$A$2:$A$9,ShiftKnowledge!$F$2:$F$9,""),IFERROR(INDEX(ShiftKnowledge!$F$2:$F$9,MATCH($B119&amp;"|"&amp;$D119,ShiftKnowledge!$A$2:$A$9,0)),"")))</f>
        <v/>
      </c>
      <c r="J119" s="4">
        <f>IF($D119="Custom","",IFERROR(XLOOKUP($B119&amp;"|"&amp;$D119,ShiftKnowledge!$A$2:$A$9,ShiftKnowledge!$G$2:$G$9,""),IFERROR(INDEX(ShiftKnowledge!$G$2:$G$9,MATCH($B119&amp;"|"&amp;$D119,ShiftKnowledge!$A$2:$A$9,0)),"")))</f>
        <v/>
      </c>
      <c r="K119" s="4">
        <f>IF($D119="Custom","",IFERROR(XLOOKUP($B119&amp;"|"&amp;$D119,ShiftKnowledge!$A$2:$A$9,ShiftKnowledge!$H$2:$H$9,""),IFERROR(INDEX(ShiftKnowledge!$H$2:$H$9,MATCH($B119&amp;"|"&amp;$D119,ShiftKnowledge!$A$2:$A$9,0)),"")))</f>
        <v/>
      </c>
      <c r="L119" s="4">
        <f>IF($D119="Custom","",IFERROR(XLOOKUP($B119&amp;"|"&amp;$D119,ShiftKnowledge!$A$2:$A$9,ShiftKnowledge!$I$2:$I$9,""),IFERROR(INDEX(ShiftKnowledge!$I$2:$I$9,MATCH($B119&amp;"|"&amp;$D119,ShiftKnowledge!$A$2:$A$9,0)),"")))</f>
        <v/>
      </c>
      <c r="M119" s="4" t="inlineStr"/>
    </row>
    <row r="120" ht="20" customHeight="1">
      <c r="A120" s="6" t="inlineStr">
        <is>
          <t>10/11/2025</t>
        </is>
      </c>
      <c r="B120" s="6" t="inlineStr">
        <is>
          <t>Ophthalmology</t>
        </is>
      </c>
      <c r="C120" s="7" t="inlineStr">
        <is>
          <t>Dr. Nafeesa Abdul Latheef</t>
        </is>
      </c>
      <c r="D120" s="6" t="inlineStr"/>
      <c r="E120" s="6">
        <f>IF($D120="Custom","",IFERROR(XLOOKUP($B120&amp;"|"&amp;$D120,ShiftKnowledge!$A$2:$A$9,ShiftKnowledge!$D$2:$D$9,""),IFERROR(INDEX(ShiftKnowledge!$D$2:$D$9,MATCH($B120&amp;"|"&amp;$D120,ShiftKnowledge!$A$2:$A$9,0)),"")))</f>
        <v/>
      </c>
      <c r="F120" s="6" t="inlineStr"/>
      <c r="G120" s="6">
        <f>IF(AND($I120="",$L120=""),"",IFERROR(VALUE($I120),0)+IFERROR(VALUE($L120),0))</f>
        <v/>
      </c>
      <c r="H120" s="6">
        <f>IF($D120="Custom","",IFERROR(XLOOKUP($B120&amp;"|"&amp;$D120,ShiftKnowledge!$A$2:$A$9,ShiftKnowledge!$E$2:$E$9,""),IFERROR(INDEX(ShiftKnowledge!$E$2:$E$9,MATCH($B120&amp;"|"&amp;$D120,ShiftKnowledge!$A$2:$A$9,0)),"")))</f>
        <v/>
      </c>
      <c r="I120" s="6">
        <f>IF($D120="Custom","",IFERROR(XLOOKUP($B120&amp;"|"&amp;$D120,ShiftKnowledge!$A$2:$A$9,ShiftKnowledge!$F$2:$F$9,""),IFERROR(INDEX(ShiftKnowledge!$F$2:$F$9,MATCH($B120&amp;"|"&amp;$D120,ShiftKnowledge!$A$2:$A$9,0)),"")))</f>
        <v/>
      </c>
      <c r="J120" s="6">
        <f>IF($D120="Custom","",IFERROR(XLOOKUP($B120&amp;"|"&amp;$D120,ShiftKnowledge!$A$2:$A$9,ShiftKnowledge!$G$2:$G$9,""),IFERROR(INDEX(ShiftKnowledge!$G$2:$G$9,MATCH($B120&amp;"|"&amp;$D120,ShiftKnowledge!$A$2:$A$9,0)),"")))</f>
        <v/>
      </c>
      <c r="K120" s="6">
        <f>IF($D120="Custom","",IFERROR(XLOOKUP($B120&amp;"|"&amp;$D120,ShiftKnowledge!$A$2:$A$9,ShiftKnowledge!$H$2:$H$9,""),IFERROR(INDEX(ShiftKnowledge!$H$2:$H$9,MATCH($B120&amp;"|"&amp;$D120,ShiftKnowledge!$A$2:$A$9,0)),"")))</f>
        <v/>
      </c>
      <c r="L120" s="6">
        <f>IF($D120="Custom","",IFERROR(XLOOKUP($B120&amp;"|"&amp;$D120,ShiftKnowledge!$A$2:$A$9,ShiftKnowledge!$I$2:$I$9,""),IFERROR(INDEX(ShiftKnowledge!$I$2:$I$9,MATCH($B120&amp;"|"&amp;$D120,ShiftKnowledge!$A$2:$A$9,0)),"")))</f>
        <v/>
      </c>
      <c r="M120" s="6" t="inlineStr"/>
    </row>
    <row r="121" ht="20" customHeight="1">
      <c r="A121" s="4" t="inlineStr">
        <is>
          <t>10/11/2025</t>
        </is>
      </c>
      <c r="B121" s="4" t="inlineStr">
        <is>
          <t>ENT</t>
        </is>
      </c>
      <c r="C121" s="5" t="inlineStr">
        <is>
          <t>Dr. Nishesh Raj Shrestha</t>
        </is>
      </c>
      <c r="D121" s="4" t="inlineStr"/>
      <c r="E121" s="4">
        <f>IF($D121="Custom","",IFERROR(XLOOKUP($B121&amp;"|"&amp;$D121,ShiftKnowledge!$A$2:$A$9,ShiftKnowledge!$D$2:$D$9,""),IFERROR(INDEX(ShiftKnowledge!$D$2:$D$9,MATCH($B121&amp;"|"&amp;$D121,ShiftKnowledge!$A$2:$A$9,0)),"")))</f>
        <v/>
      </c>
      <c r="F121" s="4" t="inlineStr"/>
      <c r="G121" s="4">
        <f>IF(AND($I121="",$L121=""),"",IFERROR(VALUE($I121),0)+IFERROR(VALUE($L121),0))</f>
        <v/>
      </c>
      <c r="H121" s="4">
        <f>IF($D121="Custom","",IFERROR(XLOOKUP($B121&amp;"|"&amp;$D121,ShiftKnowledge!$A$2:$A$9,ShiftKnowledge!$E$2:$E$9,""),IFERROR(INDEX(ShiftKnowledge!$E$2:$E$9,MATCH($B121&amp;"|"&amp;$D121,ShiftKnowledge!$A$2:$A$9,0)),"")))</f>
        <v/>
      </c>
      <c r="I121" s="4">
        <f>IF($D121="Custom","",IFERROR(XLOOKUP($B121&amp;"|"&amp;$D121,ShiftKnowledge!$A$2:$A$9,ShiftKnowledge!$F$2:$F$9,""),IFERROR(INDEX(ShiftKnowledge!$F$2:$F$9,MATCH($B121&amp;"|"&amp;$D121,ShiftKnowledge!$A$2:$A$9,0)),"")))</f>
        <v/>
      </c>
      <c r="J121" s="4">
        <f>IF($D121="Custom","",IFERROR(XLOOKUP($B121&amp;"|"&amp;$D121,ShiftKnowledge!$A$2:$A$9,ShiftKnowledge!$G$2:$G$9,""),IFERROR(INDEX(ShiftKnowledge!$G$2:$G$9,MATCH($B121&amp;"|"&amp;$D121,ShiftKnowledge!$A$2:$A$9,0)),"")))</f>
        <v/>
      </c>
      <c r="K121" s="4">
        <f>IF($D121="Custom","",IFERROR(XLOOKUP($B121&amp;"|"&amp;$D121,ShiftKnowledge!$A$2:$A$9,ShiftKnowledge!$H$2:$H$9,""),IFERROR(INDEX(ShiftKnowledge!$H$2:$H$9,MATCH($B121&amp;"|"&amp;$D121,ShiftKnowledge!$A$2:$A$9,0)),"")))</f>
        <v/>
      </c>
      <c r="L121" s="4">
        <f>IF($D121="Custom","",IFERROR(XLOOKUP($B121&amp;"|"&amp;$D121,ShiftKnowledge!$A$2:$A$9,ShiftKnowledge!$I$2:$I$9,""),IFERROR(INDEX(ShiftKnowledge!$I$2:$I$9,MATCH($B121&amp;"|"&amp;$D121,ShiftKnowledge!$A$2:$A$9,0)),"")))</f>
        <v/>
      </c>
      <c r="M121" s="4" t="inlineStr"/>
    </row>
    <row r="122" ht="20" customHeight="1">
      <c r="A122" s="6" t="inlineStr">
        <is>
          <t>10/11/2025</t>
        </is>
      </c>
      <c r="B122" s="6" t="inlineStr">
        <is>
          <t>ENT</t>
        </is>
      </c>
      <c r="C122" s="7" t="inlineStr">
        <is>
          <t>Dr. Rachit Pokharel</t>
        </is>
      </c>
      <c r="D122" s="6" t="inlineStr"/>
      <c r="E122" s="6">
        <f>IF($D122="Custom","",IFERROR(XLOOKUP($B122&amp;"|"&amp;$D122,ShiftKnowledge!$A$2:$A$9,ShiftKnowledge!$D$2:$D$9,""),IFERROR(INDEX(ShiftKnowledge!$D$2:$D$9,MATCH($B122&amp;"|"&amp;$D122,ShiftKnowledge!$A$2:$A$9,0)),"")))</f>
        <v/>
      </c>
      <c r="F122" s="6" t="inlineStr"/>
      <c r="G122" s="6">
        <f>IF(AND($I122="",$L122=""),"",IFERROR(VALUE($I122),0)+IFERROR(VALUE($L122),0))</f>
        <v/>
      </c>
      <c r="H122" s="6">
        <f>IF($D122="Custom","",IFERROR(XLOOKUP($B122&amp;"|"&amp;$D122,ShiftKnowledge!$A$2:$A$9,ShiftKnowledge!$E$2:$E$9,""),IFERROR(INDEX(ShiftKnowledge!$E$2:$E$9,MATCH($B122&amp;"|"&amp;$D122,ShiftKnowledge!$A$2:$A$9,0)),"")))</f>
        <v/>
      </c>
      <c r="I122" s="6">
        <f>IF($D122="Custom","",IFERROR(XLOOKUP($B122&amp;"|"&amp;$D122,ShiftKnowledge!$A$2:$A$9,ShiftKnowledge!$F$2:$F$9,""),IFERROR(INDEX(ShiftKnowledge!$F$2:$F$9,MATCH($B122&amp;"|"&amp;$D122,ShiftKnowledge!$A$2:$A$9,0)),"")))</f>
        <v/>
      </c>
      <c r="J122" s="6">
        <f>IF($D122="Custom","",IFERROR(XLOOKUP($B122&amp;"|"&amp;$D122,ShiftKnowledge!$A$2:$A$9,ShiftKnowledge!$G$2:$G$9,""),IFERROR(INDEX(ShiftKnowledge!$G$2:$G$9,MATCH($B122&amp;"|"&amp;$D122,ShiftKnowledge!$A$2:$A$9,0)),"")))</f>
        <v/>
      </c>
      <c r="K122" s="6">
        <f>IF($D122="Custom","",IFERROR(XLOOKUP($B122&amp;"|"&amp;$D122,ShiftKnowledge!$A$2:$A$9,ShiftKnowledge!$H$2:$H$9,""),IFERROR(INDEX(ShiftKnowledge!$H$2:$H$9,MATCH($B122&amp;"|"&amp;$D122,ShiftKnowledge!$A$2:$A$9,0)),"")))</f>
        <v/>
      </c>
      <c r="L122" s="6">
        <f>IF($D122="Custom","",IFERROR(XLOOKUP($B122&amp;"|"&amp;$D122,ShiftKnowledge!$A$2:$A$9,ShiftKnowledge!$I$2:$I$9,""),IFERROR(INDEX(ShiftKnowledge!$I$2:$I$9,MATCH($B122&amp;"|"&amp;$D122,ShiftKnowledge!$A$2:$A$9,0)),"")))</f>
        <v/>
      </c>
      <c r="M122" s="6" t="inlineStr"/>
    </row>
    <row r="123" ht="20" customHeight="1">
      <c r="A123" s="4" t="inlineStr">
        <is>
          <t>10/11/2025</t>
        </is>
      </c>
      <c r="B123" s="4" t="inlineStr">
        <is>
          <t>Ophthalmology</t>
        </is>
      </c>
      <c r="C123" s="5" t="inlineStr">
        <is>
          <t>Dr. Remon Girgis Lamee Girgis</t>
        </is>
      </c>
      <c r="D123" s="4" t="inlineStr"/>
      <c r="E123" s="4">
        <f>IF($D123="Custom","",IFERROR(XLOOKUP($B123&amp;"|"&amp;$D123,ShiftKnowledge!$A$2:$A$9,ShiftKnowledge!$D$2:$D$9,""),IFERROR(INDEX(ShiftKnowledge!$D$2:$D$9,MATCH($B123&amp;"|"&amp;$D123,ShiftKnowledge!$A$2:$A$9,0)),"")))</f>
        <v/>
      </c>
      <c r="F123" s="4" t="inlineStr"/>
      <c r="G123" s="4">
        <f>IF(AND($I123="",$L123=""),"",IFERROR(VALUE($I123),0)+IFERROR(VALUE($L123),0))</f>
        <v/>
      </c>
      <c r="H123" s="4">
        <f>IF($D123="Custom","",IFERROR(XLOOKUP($B123&amp;"|"&amp;$D123,ShiftKnowledge!$A$2:$A$9,ShiftKnowledge!$E$2:$E$9,""),IFERROR(INDEX(ShiftKnowledge!$E$2:$E$9,MATCH($B123&amp;"|"&amp;$D123,ShiftKnowledge!$A$2:$A$9,0)),"")))</f>
        <v/>
      </c>
      <c r="I123" s="4">
        <f>IF($D123="Custom","",IFERROR(XLOOKUP($B123&amp;"|"&amp;$D123,ShiftKnowledge!$A$2:$A$9,ShiftKnowledge!$F$2:$F$9,""),IFERROR(INDEX(ShiftKnowledge!$F$2:$F$9,MATCH($B123&amp;"|"&amp;$D123,ShiftKnowledge!$A$2:$A$9,0)),"")))</f>
        <v/>
      </c>
      <c r="J123" s="4">
        <f>IF($D123="Custom","",IFERROR(XLOOKUP($B123&amp;"|"&amp;$D123,ShiftKnowledge!$A$2:$A$9,ShiftKnowledge!$G$2:$G$9,""),IFERROR(INDEX(ShiftKnowledge!$G$2:$G$9,MATCH($B123&amp;"|"&amp;$D123,ShiftKnowledge!$A$2:$A$9,0)),"")))</f>
        <v/>
      </c>
      <c r="K123" s="4">
        <f>IF($D123="Custom","",IFERROR(XLOOKUP($B123&amp;"|"&amp;$D123,ShiftKnowledge!$A$2:$A$9,ShiftKnowledge!$H$2:$H$9,""),IFERROR(INDEX(ShiftKnowledge!$H$2:$H$9,MATCH($B123&amp;"|"&amp;$D123,ShiftKnowledge!$A$2:$A$9,0)),"")))</f>
        <v/>
      </c>
      <c r="L123" s="4">
        <f>IF($D123="Custom","",IFERROR(XLOOKUP($B123&amp;"|"&amp;$D123,ShiftKnowledge!$A$2:$A$9,ShiftKnowledge!$I$2:$I$9,""),IFERROR(INDEX(ShiftKnowledge!$I$2:$I$9,MATCH($B123&amp;"|"&amp;$D123,ShiftKnowledge!$A$2:$A$9,0)),"")))</f>
        <v/>
      </c>
      <c r="M123" s="4" t="inlineStr"/>
    </row>
    <row r="124" ht="20" customHeight="1">
      <c r="A124" s="6" t="inlineStr">
        <is>
          <t>10/11/2025</t>
        </is>
      </c>
      <c r="B124" s="6" t="inlineStr">
        <is>
          <t>Paediatrics</t>
        </is>
      </c>
      <c r="C124" s="7" t="inlineStr">
        <is>
          <t>Dr. Roshan Kumar Dikshit</t>
        </is>
      </c>
      <c r="D124" s="6" t="inlineStr"/>
      <c r="E124" s="6">
        <f>IF($D124="Custom","",IFERROR(XLOOKUP($B124&amp;"|"&amp;$D124,ShiftKnowledge!$A$2:$A$9,ShiftKnowledge!$D$2:$D$9,""),IFERROR(INDEX(ShiftKnowledge!$D$2:$D$9,MATCH($B124&amp;"|"&amp;$D124,ShiftKnowledge!$A$2:$A$9,0)),"")))</f>
        <v/>
      </c>
      <c r="F124" s="6" t="inlineStr"/>
      <c r="G124" s="6">
        <f>IF(AND($I124="",$L124=""),"",IFERROR(VALUE($I124),0)+IFERROR(VALUE($L124),0))</f>
        <v/>
      </c>
      <c r="H124" s="6">
        <f>IF($D124="Custom","",IFERROR(XLOOKUP($B124&amp;"|"&amp;$D124,ShiftKnowledge!$A$2:$A$9,ShiftKnowledge!$E$2:$E$9,""),IFERROR(INDEX(ShiftKnowledge!$E$2:$E$9,MATCH($B124&amp;"|"&amp;$D124,ShiftKnowledge!$A$2:$A$9,0)),"")))</f>
        <v/>
      </c>
      <c r="I124" s="6">
        <f>IF($D124="Custom","",IFERROR(XLOOKUP($B124&amp;"|"&amp;$D124,ShiftKnowledge!$A$2:$A$9,ShiftKnowledge!$F$2:$F$9,""),IFERROR(INDEX(ShiftKnowledge!$F$2:$F$9,MATCH($B124&amp;"|"&amp;$D124,ShiftKnowledge!$A$2:$A$9,0)),"")))</f>
        <v/>
      </c>
      <c r="J124" s="6">
        <f>IF($D124="Custom","",IFERROR(XLOOKUP($B124&amp;"|"&amp;$D124,ShiftKnowledge!$A$2:$A$9,ShiftKnowledge!$G$2:$G$9,""),IFERROR(INDEX(ShiftKnowledge!$G$2:$G$9,MATCH($B124&amp;"|"&amp;$D124,ShiftKnowledge!$A$2:$A$9,0)),"")))</f>
        <v/>
      </c>
      <c r="K124" s="6">
        <f>IF($D124="Custom","",IFERROR(XLOOKUP($B124&amp;"|"&amp;$D124,ShiftKnowledge!$A$2:$A$9,ShiftKnowledge!$H$2:$H$9,""),IFERROR(INDEX(ShiftKnowledge!$H$2:$H$9,MATCH($B124&amp;"|"&amp;$D124,ShiftKnowledge!$A$2:$A$9,0)),"")))</f>
        <v/>
      </c>
      <c r="L124" s="6">
        <f>IF($D124="Custom","",IFERROR(XLOOKUP($B124&amp;"|"&amp;$D124,ShiftKnowledge!$A$2:$A$9,ShiftKnowledge!$I$2:$I$9,""),IFERROR(INDEX(ShiftKnowledge!$I$2:$I$9,MATCH($B124&amp;"|"&amp;$D124,ShiftKnowledge!$A$2:$A$9,0)),"")))</f>
        <v/>
      </c>
      <c r="M124" s="6" t="inlineStr"/>
    </row>
    <row r="125" ht="20" customHeight="1">
      <c r="A125" s="4" t="inlineStr">
        <is>
          <t>10/11/2025</t>
        </is>
      </c>
      <c r="B125" s="4" t="inlineStr">
        <is>
          <t>Ophthalmology</t>
        </is>
      </c>
      <c r="C125" s="5" t="inlineStr">
        <is>
          <t>Dr. Roxy Devi Chirom</t>
        </is>
      </c>
      <c r="D125" s="4" t="inlineStr"/>
      <c r="E125" s="4">
        <f>IF($D125="Custom","",IFERROR(XLOOKUP($B125&amp;"|"&amp;$D125,ShiftKnowledge!$A$2:$A$9,ShiftKnowledge!$D$2:$D$9,""),IFERROR(INDEX(ShiftKnowledge!$D$2:$D$9,MATCH($B125&amp;"|"&amp;$D125,ShiftKnowledge!$A$2:$A$9,0)),"")))</f>
        <v/>
      </c>
      <c r="F125" s="4" t="inlineStr"/>
      <c r="G125" s="4">
        <f>IF(AND($I125="",$L125=""),"",IFERROR(VALUE($I125),0)+IFERROR(VALUE($L125),0))</f>
        <v/>
      </c>
      <c r="H125" s="4">
        <f>IF($D125="Custom","",IFERROR(XLOOKUP($B125&amp;"|"&amp;$D125,ShiftKnowledge!$A$2:$A$9,ShiftKnowledge!$E$2:$E$9,""),IFERROR(INDEX(ShiftKnowledge!$E$2:$E$9,MATCH($B125&amp;"|"&amp;$D125,ShiftKnowledge!$A$2:$A$9,0)),"")))</f>
        <v/>
      </c>
      <c r="I125" s="4">
        <f>IF($D125="Custom","",IFERROR(XLOOKUP($B125&amp;"|"&amp;$D125,ShiftKnowledge!$A$2:$A$9,ShiftKnowledge!$F$2:$F$9,""),IFERROR(INDEX(ShiftKnowledge!$F$2:$F$9,MATCH($B125&amp;"|"&amp;$D125,ShiftKnowledge!$A$2:$A$9,0)),"")))</f>
        <v/>
      </c>
      <c r="J125" s="4">
        <f>IF($D125="Custom","",IFERROR(XLOOKUP($B125&amp;"|"&amp;$D125,ShiftKnowledge!$A$2:$A$9,ShiftKnowledge!$G$2:$G$9,""),IFERROR(INDEX(ShiftKnowledge!$G$2:$G$9,MATCH($B125&amp;"|"&amp;$D125,ShiftKnowledge!$A$2:$A$9,0)),"")))</f>
        <v/>
      </c>
      <c r="K125" s="4">
        <f>IF($D125="Custom","",IFERROR(XLOOKUP($B125&amp;"|"&amp;$D125,ShiftKnowledge!$A$2:$A$9,ShiftKnowledge!$H$2:$H$9,""),IFERROR(INDEX(ShiftKnowledge!$H$2:$H$9,MATCH($B125&amp;"|"&amp;$D125,ShiftKnowledge!$A$2:$A$9,0)),"")))</f>
        <v/>
      </c>
      <c r="L125" s="4">
        <f>IF($D125="Custom","",IFERROR(XLOOKUP($B125&amp;"|"&amp;$D125,ShiftKnowledge!$A$2:$A$9,ShiftKnowledge!$I$2:$I$9,""),IFERROR(INDEX(ShiftKnowledge!$I$2:$I$9,MATCH($B125&amp;"|"&amp;$D125,ShiftKnowledge!$A$2:$A$9,0)),"")))</f>
        <v/>
      </c>
      <c r="M125" s="4" t="inlineStr"/>
    </row>
    <row r="126" ht="20" customHeight="1">
      <c r="A126" s="6" t="inlineStr">
        <is>
          <t>10/11/2025</t>
        </is>
      </c>
      <c r="B126" s="6" t="inlineStr">
        <is>
          <t>General Surgery</t>
        </is>
      </c>
      <c r="C126" s="7" t="inlineStr">
        <is>
          <t>Dr. Rubab Nafees</t>
        </is>
      </c>
      <c r="D126" s="6" t="inlineStr"/>
      <c r="E126" s="6">
        <f>IF($D126="Custom","",IFERROR(XLOOKUP($B126&amp;"|"&amp;$D126,ShiftKnowledge!$A$2:$A$9,ShiftKnowledge!$D$2:$D$9,""),IFERROR(INDEX(ShiftKnowledge!$D$2:$D$9,MATCH($B126&amp;"|"&amp;$D126,ShiftKnowledge!$A$2:$A$9,0)),"")))</f>
        <v/>
      </c>
      <c r="F126" s="6" t="inlineStr"/>
      <c r="G126" s="6">
        <f>IF(AND($I126="",$L126=""),"",IFERROR(VALUE($I126),0)+IFERROR(VALUE($L126),0))</f>
        <v/>
      </c>
      <c r="H126" s="6">
        <f>IF($D126="Custom","",IFERROR(XLOOKUP($B126&amp;"|"&amp;$D126,ShiftKnowledge!$A$2:$A$9,ShiftKnowledge!$E$2:$E$9,""),IFERROR(INDEX(ShiftKnowledge!$E$2:$E$9,MATCH($B126&amp;"|"&amp;$D126,ShiftKnowledge!$A$2:$A$9,0)),"")))</f>
        <v/>
      </c>
      <c r="I126" s="6">
        <f>IF($D126="Custom","",IFERROR(XLOOKUP($B126&amp;"|"&amp;$D126,ShiftKnowledge!$A$2:$A$9,ShiftKnowledge!$F$2:$F$9,""),IFERROR(INDEX(ShiftKnowledge!$F$2:$F$9,MATCH($B126&amp;"|"&amp;$D126,ShiftKnowledge!$A$2:$A$9,0)),"")))</f>
        <v/>
      </c>
      <c r="J126" s="6">
        <f>IF($D126="Custom","",IFERROR(XLOOKUP($B126&amp;"|"&amp;$D126,ShiftKnowledge!$A$2:$A$9,ShiftKnowledge!$G$2:$G$9,""),IFERROR(INDEX(ShiftKnowledge!$G$2:$G$9,MATCH($B126&amp;"|"&amp;$D126,ShiftKnowledge!$A$2:$A$9,0)),"")))</f>
        <v/>
      </c>
      <c r="K126" s="6">
        <f>IF($D126="Custom","",IFERROR(XLOOKUP($B126&amp;"|"&amp;$D126,ShiftKnowledge!$A$2:$A$9,ShiftKnowledge!$H$2:$H$9,""),IFERROR(INDEX(ShiftKnowledge!$H$2:$H$9,MATCH($B126&amp;"|"&amp;$D126,ShiftKnowledge!$A$2:$A$9,0)),"")))</f>
        <v/>
      </c>
      <c r="L126" s="6">
        <f>IF($D126="Custom","",IFERROR(XLOOKUP($B126&amp;"|"&amp;$D126,ShiftKnowledge!$A$2:$A$9,ShiftKnowledge!$I$2:$I$9,""),IFERROR(INDEX(ShiftKnowledge!$I$2:$I$9,MATCH($B126&amp;"|"&amp;$D126,ShiftKnowledge!$A$2:$A$9,0)),"")))</f>
        <v/>
      </c>
      <c r="M126" s="6" t="inlineStr"/>
    </row>
    <row r="127" ht="20" customHeight="1">
      <c r="A127" s="4" t="inlineStr">
        <is>
          <t>10/11/2025</t>
        </is>
      </c>
      <c r="B127" s="4" t="inlineStr">
        <is>
          <t>Gynaecology</t>
        </is>
      </c>
      <c r="C127" s="5" t="inlineStr">
        <is>
          <t>Dr. Rubeena Badar Khan</t>
        </is>
      </c>
      <c r="D127" s="4" t="inlineStr"/>
      <c r="E127" s="4">
        <f>IF($D127="Custom","",IFERROR(XLOOKUP($B127&amp;"|"&amp;$D127,ShiftKnowledge!$A$2:$A$9,ShiftKnowledge!$D$2:$D$9,""),IFERROR(INDEX(ShiftKnowledge!$D$2:$D$9,MATCH($B127&amp;"|"&amp;$D127,ShiftKnowledge!$A$2:$A$9,0)),"")))</f>
        <v/>
      </c>
      <c r="F127" s="4" t="inlineStr"/>
      <c r="G127" s="4">
        <f>IF(AND($I127="",$L127=""),"",IFERROR(VALUE($I127),0)+IFERROR(VALUE($L127),0))</f>
        <v/>
      </c>
      <c r="H127" s="4">
        <f>IF($D127="Custom","",IFERROR(XLOOKUP($B127&amp;"|"&amp;$D127,ShiftKnowledge!$A$2:$A$9,ShiftKnowledge!$E$2:$E$9,""),IFERROR(INDEX(ShiftKnowledge!$E$2:$E$9,MATCH($B127&amp;"|"&amp;$D127,ShiftKnowledge!$A$2:$A$9,0)),"")))</f>
        <v/>
      </c>
      <c r="I127" s="4">
        <f>IF($D127="Custom","",IFERROR(XLOOKUP($B127&amp;"|"&amp;$D127,ShiftKnowledge!$A$2:$A$9,ShiftKnowledge!$F$2:$F$9,""),IFERROR(INDEX(ShiftKnowledge!$F$2:$F$9,MATCH($B127&amp;"|"&amp;$D127,ShiftKnowledge!$A$2:$A$9,0)),"")))</f>
        <v/>
      </c>
      <c r="J127" s="4">
        <f>IF($D127="Custom","",IFERROR(XLOOKUP($B127&amp;"|"&amp;$D127,ShiftKnowledge!$A$2:$A$9,ShiftKnowledge!$G$2:$G$9,""),IFERROR(INDEX(ShiftKnowledge!$G$2:$G$9,MATCH($B127&amp;"|"&amp;$D127,ShiftKnowledge!$A$2:$A$9,0)),"")))</f>
        <v/>
      </c>
      <c r="K127" s="4">
        <f>IF($D127="Custom","",IFERROR(XLOOKUP($B127&amp;"|"&amp;$D127,ShiftKnowledge!$A$2:$A$9,ShiftKnowledge!$H$2:$H$9,""),IFERROR(INDEX(ShiftKnowledge!$H$2:$H$9,MATCH($B127&amp;"|"&amp;$D127,ShiftKnowledge!$A$2:$A$9,0)),"")))</f>
        <v/>
      </c>
      <c r="L127" s="4">
        <f>IF($D127="Custom","",IFERROR(XLOOKUP($B127&amp;"|"&amp;$D127,ShiftKnowledge!$A$2:$A$9,ShiftKnowledge!$I$2:$I$9,""),IFERROR(INDEX(ShiftKnowledge!$I$2:$I$9,MATCH($B127&amp;"|"&amp;$D127,ShiftKnowledge!$A$2:$A$9,0)),"")))</f>
        <v/>
      </c>
      <c r="M127" s="4" t="inlineStr"/>
    </row>
    <row r="128" ht="20" customHeight="1">
      <c r="A128" s="6" t="inlineStr">
        <is>
          <t>10/11/2025</t>
        </is>
      </c>
      <c r="B128" s="6" t="inlineStr">
        <is>
          <t>Dental</t>
        </is>
      </c>
      <c r="C128" s="7" t="inlineStr">
        <is>
          <t>Dr. Safa Abdul Gayyoom</t>
        </is>
      </c>
      <c r="D128" s="6" t="inlineStr"/>
      <c r="E128" s="6">
        <f>IF($D128="Custom","",IFERROR(XLOOKUP($B128&amp;"|"&amp;$D128,ShiftKnowledge!$A$2:$A$9,ShiftKnowledge!$D$2:$D$9,""),IFERROR(INDEX(ShiftKnowledge!$D$2:$D$9,MATCH($B128&amp;"|"&amp;$D128,ShiftKnowledge!$A$2:$A$9,0)),"")))</f>
        <v/>
      </c>
      <c r="F128" s="6" t="inlineStr"/>
      <c r="G128" s="6">
        <f>IF(AND($I128="",$L128=""),"",IFERROR(VALUE($I128),0)+IFERROR(VALUE($L128),0))</f>
        <v/>
      </c>
      <c r="H128" s="6">
        <f>IF($D128="Custom","",IFERROR(XLOOKUP($B128&amp;"|"&amp;$D128,ShiftKnowledge!$A$2:$A$9,ShiftKnowledge!$E$2:$E$9,""),IFERROR(INDEX(ShiftKnowledge!$E$2:$E$9,MATCH($B128&amp;"|"&amp;$D128,ShiftKnowledge!$A$2:$A$9,0)),"")))</f>
        <v/>
      </c>
      <c r="I128" s="6">
        <f>IF($D128="Custom","",IFERROR(XLOOKUP($B128&amp;"|"&amp;$D128,ShiftKnowledge!$A$2:$A$9,ShiftKnowledge!$F$2:$F$9,""),IFERROR(INDEX(ShiftKnowledge!$F$2:$F$9,MATCH($B128&amp;"|"&amp;$D128,ShiftKnowledge!$A$2:$A$9,0)),"")))</f>
        <v/>
      </c>
      <c r="J128" s="6">
        <f>IF($D128="Custom","",IFERROR(XLOOKUP($B128&amp;"|"&amp;$D128,ShiftKnowledge!$A$2:$A$9,ShiftKnowledge!$G$2:$G$9,""),IFERROR(INDEX(ShiftKnowledge!$G$2:$G$9,MATCH($B128&amp;"|"&amp;$D128,ShiftKnowledge!$A$2:$A$9,0)),"")))</f>
        <v/>
      </c>
      <c r="K128" s="6">
        <f>IF($D128="Custom","",IFERROR(XLOOKUP($B128&amp;"|"&amp;$D128,ShiftKnowledge!$A$2:$A$9,ShiftKnowledge!$H$2:$H$9,""),IFERROR(INDEX(ShiftKnowledge!$H$2:$H$9,MATCH($B128&amp;"|"&amp;$D128,ShiftKnowledge!$A$2:$A$9,0)),"")))</f>
        <v/>
      </c>
      <c r="L128" s="6">
        <f>IF($D128="Custom","",IFERROR(XLOOKUP($B128&amp;"|"&amp;$D128,ShiftKnowledge!$A$2:$A$9,ShiftKnowledge!$I$2:$I$9,""),IFERROR(INDEX(ShiftKnowledge!$I$2:$I$9,MATCH($B128&amp;"|"&amp;$D128,ShiftKnowledge!$A$2:$A$9,0)),"")))</f>
        <v/>
      </c>
      <c r="M128" s="6" t="inlineStr"/>
    </row>
    <row r="129" ht="20" customHeight="1">
      <c r="A129" s="4" t="inlineStr">
        <is>
          <t>10/11/2025</t>
        </is>
      </c>
      <c r="B129" s="4" t="inlineStr">
        <is>
          <t>Internal Medicine</t>
        </is>
      </c>
      <c r="C129" s="5" t="inlineStr">
        <is>
          <t>Dr. Saroj Thapa</t>
        </is>
      </c>
      <c r="D129" s="4" t="inlineStr"/>
      <c r="E129" s="4">
        <f>IF($D129="Custom","",IFERROR(XLOOKUP($B129&amp;"|"&amp;$D129,ShiftKnowledge!$A$2:$A$9,ShiftKnowledge!$D$2:$D$9,""),IFERROR(INDEX(ShiftKnowledge!$D$2:$D$9,MATCH($B129&amp;"|"&amp;$D129,ShiftKnowledge!$A$2:$A$9,0)),"")))</f>
        <v/>
      </c>
      <c r="F129" s="4" t="inlineStr"/>
      <c r="G129" s="4">
        <f>IF(AND($I129="",$L129=""),"",IFERROR(VALUE($I129),0)+IFERROR(VALUE($L129),0))</f>
        <v/>
      </c>
      <c r="H129" s="4">
        <f>IF($D129="Custom","",IFERROR(XLOOKUP($B129&amp;"|"&amp;$D129,ShiftKnowledge!$A$2:$A$9,ShiftKnowledge!$E$2:$E$9,""),IFERROR(INDEX(ShiftKnowledge!$E$2:$E$9,MATCH($B129&amp;"|"&amp;$D129,ShiftKnowledge!$A$2:$A$9,0)),"")))</f>
        <v/>
      </c>
      <c r="I129" s="4">
        <f>IF($D129="Custom","",IFERROR(XLOOKUP($B129&amp;"|"&amp;$D129,ShiftKnowledge!$A$2:$A$9,ShiftKnowledge!$F$2:$F$9,""),IFERROR(INDEX(ShiftKnowledge!$F$2:$F$9,MATCH($B129&amp;"|"&amp;$D129,ShiftKnowledge!$A$2:$A$9,0)),"")))</f>
        <v/>
      </c>
      <c r="J129" s="4">
        <f>IF($D129="Custom","",IFERROR(XLOOKUP($B129&amp;"|"&amp;$D129,ShiftKnowledge!$A$2:$A$9,ShiftKnowledge!$G$2:$G$9,""),IFERROR(INDEX(ShiftKnowledge!$G$2:$G$9,MATCH($B129&amp;"|"&amp;$D129,ShiftKnowledge!$A$2:$A$9,0)),"")))</f>
        <v/>
      </c>
      <c r="K129" s="4">
        <f>IF($D129="Custom","",IFERROR(XLOOKUP($B129&amp;"|"&amp;$D129,ShiftKnowledge!$A$2:$A$9,ShiftKnowledge!$H$2:$H$9,""),IFERROR(INDEX(ShiftKnowledge!$H$2:$H$9,MATCH($B129&amp;"|"&amp;$D129,ShiftKnowledge!$A$2:$A$9,0)),"")))</f>
        <v/>
      </c>
      <c r="L129" s="4">
        <f>IF($D129="Custom","",IFERROR(XLOOKUP($B129&amp;"|"&amp;$D129,ShiftKnowledge!$A$2:$A$9,ShiftKnowledge!$I$2:$I$9,""),IFERROR(INDEX(ShiftKnowledge!$I$2:$I$9,MATCH($B129&amp;"|"&amp;$D129,ShiftKnowledge!$A$2:$A$9,0)),"")))</f>
        <v/>
      </c>
      <c r="M129" s="4" t="inlineStr"/>
    </row>
    <row r="130" ht="20" customHeight="1">
      <c r="A130" s="6" t="inlineStr">
        <is>
          <t>10/11/2025</t>
        </is>
      </c>
      <c r="B130" s="6" t="inlineStr">
        <is>
          <t>General Surgery</t>
        </is>
      </c>
      <c r="C130" s="7" t="inlineStr">
        <is>
          <t>Dr. Su Mon Kyaw</t>
        </is>
      </c>
      <c r="D130" s="6" t="inlineStr"/>
      <c r="E130" s="6">
        <f>IF($D130="Custom","",IFERROR(XLOOKUP($B130&amp;"|"&amp;$D130,ShiftKnowledge!$A$2:$A$9,ShiftKnowledge!$D$2:$D$9,""),IFERROR(INDEX(ShiftKnowledge!$D$2:$D$9,MATCH($B130&amp;"|"&amp;$D130,ShiftKnowledge!$A$2:$A$9,0)),"")))</f>
        <v/>
      </c>
      <c r="F130" s="6" t="inlineStr"/>
      <c r="G130" s="6">
        <f>IF(AND($I130="",$L130=""),"",IFERROR(VALUE($I130),0)+IFERROR(VALUE($L130),0))</f>
        <v/>
      </c>
      <c r="H130" s="6">
        <f>IF($D130="Custom","",IFERROR(XLOOKUP($B130&amp;"|"&amp;$D130,ShiftKnowledge!$A$2:$A$9,ShiftKnowledge!$E$2:$E$9,""),IFERROR(INDEX(ShiftKnowledge!$E$2:$E$9,MATCH($B130&amp;"|"&amp;$D130,ShiftKnowledge!$A$2:$A$9,0)),"")))</f>
        <v/>
      </c>
      <c r="I130" s="6">
        <f>IF($D130="Custom","",IFERROR(XLOOKUP($B130&amp;"|"&amp;$D130,ShiftKnowledge!$A$2:$A$9,ShiftKnowledge!$F$2:$F$9,""),IFERROR(INDEX(ShiftKnowledge!$F$2:$F$9,MATCH($B130&amp;"|"&amp;$D130,ShiftKnowledge!$A$2:$A$9,0)),"")))</f>
        <v/>
      </c>
      <c r="J130" s="6">
        <f>IF($D130="Custom","",IFERROR(XLOOKUP($B130&amp;"|"&amp;$D130,ShiftKnowledge!$A$2:$A$9,ShiftKnowledge!$G$2:$G$9,""),IFERROR(INDEX(ShiftKnowledge!$G$2:$G$9,MATCH($B130&amp;"|"&amp;$D130,ShiftKnowledge!$A$2:$A$9,0)),"")))</f>
        <v/>
      </c>
      <c r="K130" s="6">
        <f>IF($D130="Custom","",IFERROR(XLOOKUP($B130&amp;"|"&amp;$D130,ShiftKnowledge!$A$2:$A$9,ShiftKnowledge!$H$2:$H$9,""),IFERROR(INDEX(ShiftKnowledge!$H$2:$H$9,MATCH($B130&amp;"|"&amp;$D130,ShiftKnowledge!$A$2:$A$9,0)),"")))</f>
        <v/>
      </c>
      <c r="L130" s="6">
        <f>IF($D130="Custom","",IFERROR(XLOOKUP($B130&amp;"|"&amp;$D130,ShiftKnowledge!$A$2:$A$9,ShiftKnowledge!$I$2:$I$9,""),IFERROR(INDEX(ShiftKnowledge!$I$2:$I$9,MATCH($B130&amp;"|"&amp;$D130,ShiftKnowledge!$A$2:$A$9,0)),"")))</f>
        <v/>
      </c>
      <c r="M130" s="6" t="inlineStr"/>
    </row>
    <row r="131" ht="20" customHeight="1">
      <c r="A131" s="4" t="inlineStr">
        <is>
          <t>10/11/2025</t>
        </is>
      </c>
      <c r="B131" s="4" t="inlineStr">
        <is>
          <t>Internal Medicine</t>
        </is>
      </c>
      <c r="C131" s="5" t="inlineStr">
        <is>
          <t>Dr. Sumretee</t>
        </is>
      </c>
      <c r="D131" s="4" t="inlineStr"/>
      <c r="E131" s="4">
        <f>IF($D131="Custom","",IFERROR(XLOOKUP($B131&amp;"|"&amp;$D131,ShiftKnowledge!$A$2:$A$9,ShiftKnowledge!$D$2:$D$9,""),IFERROR(INDEX(ShiftKnowledge!$D$2:$D$9,MATCH($B131&amp;"|"&amp;$D131,ShiftKnowledge!$A$2:$A$9,0)),"")))</f>
        <v/>
      </c>
      <c r="F131" s="4" t="inlineStr"/>
      <c r="G131" s="4">
        <f>IF(AND($I131="",$L131=""),"",IFERROR(VALUE($I131),0)+IFERROR(VALUE($L131),0))</f>
        <v/>
      </c>
      <c r="H131" s="4">
        <f>IF($D131="Custom","",IFERROR(XLOOKUP($B131&amp;"|"&amp;$D131,ShiftKnowledge!$A$2:$A$9,ShiftKnowledge!$E$2:$E$9,""),IFERROR(INDEX(ShiftKnowledge!$E$2:$E$9,MATCH($B131&amp;"|"&amp;$D131,ShiftKnowledge!$A$2:$A$9,0)),"")))</f>
        <v/>
      </c>
      <c r="I131" s="4">
        <f>IF($D131="Custom","",IFERROR(XLOOKUP($B131&amp;"|"&amp;$D131,ShiftKnowledge!$A$2:$A$9,ShiftKnowledge!$F$2:$F$9,""),IFERROR(INDEX(ShiftKnowledge!$F$2:$F$9,MATCH($B131&amp;"|"&amp;$D131,ShiftKnowledge!$A$2:$A$9,0)),"")))</f>
        <v/>
      </c>
      <c r="J131" s="4">
        <f>IF($D131="Custom","",IFERROR(XLOOKUP($B131&amp;"|"&amp;$D131,ShiftKnowledge!$A$2:$A$9,ShiftKnowledge!$G$2:$G$9,""),IFERROR(INDEX(ShiftKnowledge!$G$2:$G$9,MATCH($B131&amp;"|"&amp;$D131,ShiftKnowledge!$A$2:$A$9,0)),"")))</f>
        <v/>
      </c>
      <c r="K131" s="4">
        <f>IF($D131="Custom","",IFERROR(XLOOKUP($B131&amp;"|"&amp;$D131,ShiftKnowledge!$A$2:$A$9,ShiftKnowledge!$H$2:$H$9,""),IFERROR(INDEX(ShiftKnowledge!$H$2:$H$9,MATCH($B131&amp;"|"&amp;$D131,ShiftKnowledge!$A$2:$A$9,0)),"")))</f>
        <v/>
      </c>
      <c r="L131" s="4">
        <f>IF($D131="Custom","",IFERROR(XLOOKUP($B131&amp;"|"&amp;$D131,ShiftKnowledge!$A$2:$A$9,ShiftKnowledge!$I$2:$I$9,""),IFERROR(INDEX(ShiftKnowledge!$I$2:$I$9,MATCH($B131&amp;"|"&amp;$D131,ShiftKnowledge!$A$2:$A$9,0)),"")))</f>
        <v/>
      </c>
      <c r="M131" s="4" t="inlineStr"/>
    </row>
    <row r="132" ht="20" customHeight="1">
      <c r="A132" s="6" t="inlineStr">
        <is>
          <t>10/11/2025</t>
        </is>
      </c>
      <c r="B132" s="6" t="inlineStr">
        <is>
          <t>Orthopaedics</t>
        </is>
      </c>
      <c r="C132" s="7" t="inlineStr">
        <is>
          <t>Dr. Vinod Ramlal</t>
        </is>
      </c>
      <c r="D132" s="6" t="inlineStr"/>
      <c r="E132" s="6">
        <f>IF($D132="Custom","",IFERROR(XLOOKUP($B132&amp;"|"&amp;$D132,ShiftKnowledge!$A$2:$A$9,ShiftKnowledge!$D$2:$D$9,""),IFERROR(INDEX(ShiftKnowledge!$D$2:$D$9,MATCH($B132&amp;"|"&amp;$D132,ShiftKnowledge!$A$2:$A$9,0)),"")))</f>
        <v/>
      </c>
      <c r="F132" s="6" t="inlineStr"/>
      <c r="G132" s="6">
        <f>IF(AND($I132="",$L132=""),"",IFERROR(VALUE($I132),0)+IFERROR(VALUE($L132),0))</f>
        <v/>
      </c>
      <c r="H132" s="6">
        <f>IF($D132="Custom","",IFERROR(XLOOKUP($B132&amp;"|"&amp;$D132,ShiftKnowledge!$A$2:$A$9,ShiftKnowledge!$E$2:$E$9,""),IFERROR(INDEX(ShiftKnowledge!$E$2:$E$9,MATCH($B132&amp;"|"&amp;$D132,ShiftKnowledge!$A$2:$A$9,0)),"")))</f>
        <v/>
      </c>
      <c r="I132" s="6">
        <f>IF($D132="Custom","",IFERROR(XLOOKUP($B132&amp;"|"&amp;$D132,ShiftKnowledge!$A$2:$A$9,ShiftKnowledge!$F$2:$F$9,""),IFERROR(INDEX(ShiftKnowledge!$F$2:$F$9,MATCH($B132&amp;"|"&amp;$D132,ShiftKnowledge!$A$2:$A$9,0)),"")))</f>
        <v/>
      </c>
      <c r="J132" s="6">
        <f>IF($D132="Custom","",IFERROR(XLOOKUP($B132&amp;"|"&amp;$D132,ShiftKnowledge!$A$2:$A$9,ShiftKnowledge!$G$2:$G$9,""),IFERROR(INDEX(ShiftKnowledge!$G$2:$G$9,MATCH($B132&amp;"|"&amp;$D132,ShiftKnowledge!$A$2:$A$9,0)),"")))</f>
        <v/>
      </c>
      <c r="K132" s="6">
        <f>IF($D132="Custom","",IFERROR(XLOOKUP($B132&amp;"|"&amp;$D132,ShiftKnowledge!$A$2:$A$9,ShiftKnowledge!$H$2:$H$9,""),IFERROR(INDEX(ShiftKnowledge!$H$2:$H$9,MATCH($B132&amp;"|"&amp;$D132,ShiftKnowledge!$A$2:$A$9,0)),"")))</f>
        <v/>
      </c>
      <c r="L132" s="6">
        <f>IF($D132="Custom","",IFERROR(XLOOKUP($B132&amp;"|"&amp;$D132,ShiftKnowledge!$A$2:$A$9,ShiftKnowledge!$I$2:$I$9,""),IFERROR(INDEX(ShiftKnowledge!$I$2:$I$9,MATCH($B132&amp;"|"&amp;$D132,ShiftKnowledge!$A$2:$A$9,0)),"")))</f>
        <v/>
      </c>
      <c r="M132" s="6" t="inlineStr"/>
    </row>
    <row r="133" ht="20" customHeight="1">
      <c r="A133" s="4" t="inlineStr">
        <is>
          <t>10/11/2025</t>
        </is>
      </c>
      <c r="B133" s="4" t="inlineStr">
        <is>
          <t>Paediatrics</t>
        </is>
      </c>
      <c r="C133" s="5" t="inlineStr">
        <is>
          <t>Dr. Yi Nwe Soe</t>
        </is>
      </c>
      <c r="D133" s="4" t="inlineStr"/>
      <c r="E133" s="4">
        <f>IF($D133="Custom","",IFERROR(XLOOKUP($B133&amp;"|"&amp;$D133,ShiftKnowledge!$A$2:$A$9,ShiftKnowledge!$D$2:$D$9,""),IFERROR(INDEX(ShiftKnowledge!$D$2:$D$9,MATCH($B133&amp;"|"&amp;$D133,ShiftKnowledge!$A$2:$A$9,0)),"")))</f>
        <v/>
      </c>
      <c r="F133" s="4" t="inlineStr"/>
      <c r="G133" s="4">
        <f>IF(AND($I133="",$L133=""),"",IFERROR(VALUE($I133),0)+IFERROR(VALUE($L133),0))</f>
        <v/>
      </c>
      <c r="H133" s="4">
        <f>IF($D133="Custom","",IFERROR(XLOOKUP($B133&amp;"|"&amp;$D133,ShiftKnowledge!$A$2:$A$9,ShiftKnowledge!$E$2:$E$9,""),IFERROR(INDEX(ShiftKnowledge!$E$2:$E$9,MATCH($B133&amp;"|"&amp;$D133,ShiftKnowledge!$A$2:$A$9,0)),"")))</f>
        <v/>
      </c>
      <c r="I133" s="4">
        <f>IF($D133="Custom","",IFERROR(XLOOKUP($B133&amp;"|"&amp;$D133,ShiftKnowledge!$A$2:$A$9,ShiftKnowledge!$F$2:$F$9,""),IFERROR(INDEX(ShiftKnowledge!$F$2:$F$9,MATCH($B133&amp;"|"&amp;$D133,ShiftKnowledge!$A$2:$A$9,0)),"")))</f>
        <v/>
      </c>
      <c r="J133" s="4">
        <f>IF($D133="Custom","",IFERROR(XLOOKUP($B133&amp;"|"&amp;$D133,ShiftKnowledge!$A$2:$A$9,ShiftKnowledge!$G$2:$G$9,""),IFERROR(INDEX(ShiftKnowledge!$G$2:$G$9,MATCH($B133&amp;"|"&amp;$D133,ShiftKnowledge!$A$2:$A$9,0)),"")))</f>
        <v/>
      </c>
      <c r="K133" s="4">
        <f>IF($D133="Custom","",IFERROR(XLOOKUP($B133&amp;"|"&amp;$D133,ShiftKnowledge!$A$2:$A$9,ShiftKnowledge!$H$2:$H$9,""),IFERROR(INDEX(ShiftKnowledge!$H$2:$H$9,MATCH($B133&amp;"|"&amp;$D133,ShiftKnowledge!$A$2:$A$9,0)),"")))</f>
        <v/>
      </c>
      <c r="L133" s="4">
        <f>IF($D133="Custom","",IFERROR(XLOOKUP($B133&amp;"|"&amp;$D133,ShiftKnowledge!$A$2:$A$9,ShiftKnowledge!$I$2:$I$9,""),IFERROR(INDEX(ShiftKnowledge!$I$2:$I$9,MATCH($B133&amp;"|"&amp;$D133,ShiftKnowledge!$A$2:$A$9,0)),"")))</f>
        <v/>
      </c>
      <c r="M133" s="4" t="inlineStr"/>
    </row>
    <row r="134" ht="20" customHeight="1">
      <c r="A134" s="6" t="inlineStr">
        <is>
          <t>10/11/2025</t>
        </is>
      </c>
      <c r="B134" s="6" t="inlineStr">
        <is>
          <t>Gynaecology</t>
        </is>
      </c>
      <c r="C134" s="7" t="inlineStr">
        <is>
          <t>Dr. Zarina Kabilova</t>
        </is>
      </c>
      <c r="D134" s="6" t="inlineStr"/>
      <c r="E134" s="6">
        <f>IF($D134="Custom","",IFERROR(XLOOKUP($B134&amp;"|"&amp;$D134,ShiftKnowledge!$A$2:$A$9,ShiftKnowledge!$D$2:$D$9,""),IFERROR(INDEX(ShiftKnowledge!$D$2:$D$9,MATCH($B134&amp;"|"&amp;$D134,ShiftKnowledge!$A$2:$A$9,0)),"")))</f>
        <v/>
      </c>
      <c r="F134" s="6" t="inlineStr"/>
      <c r="G134" s="6">
        <f>IF(AND($I134="",$L134=""),"",IFERROR(VALUE($I134),0)+IFERROR(VALUE($L134),0))</f>
        <v/>
      </c>
      <c r="H134" s="6">
        <f>IF($D134="Custom","",IFERROR(XLOOKUP($B134&amp;"|"&amp;$D134,ShiftKnowledge!$A$2:$A$9,ShiftKnowledge!$E$2:$E$9,""),IFERROR(INDEX(ShiftKnowledge!$E$2:$E$9,MATCH($B134&amp;"|"&amp;$D134,ShiftKnowledge!$A$2:$A$9,0)),"")))</f>
        <v/>
      </c>
      <c r="I134" s="6">
        <f>IF($D134="Custom","",IFERROR(XLOOKUP($B134&amp;"|"&amp;$D134,ShiftKnowledge!$A$2:$A$9,ShiftKnowledge!$F$2:$F$9,""),IFERROR(INDEX(ShiftKnowledge!$F$2:$F$9,MATCH($B134&amp;"|"&amp;$D134,ShiftKnowledge!$A$2:$A$9,0)),"")))</f>
        <v/>
      </c>
      <c r="J134" s="6">
        <f>IF($D134="Custom","",IFERROR(XLOOKUP($B134&amp;"|"&amp;$D134,ShiftKnowledge!$A$2:$A$9,ShiftKnowledge!$G$2:$G$9,""),IFERROR(INDEX(ShiftKnowledge!$G$2:$G$9,MATCH($B134&amp;"|"&amp;$D134,ShiftKnowledge!$A$2:$A$9,0)),"")))</f>
        <v/>
      </c>
      <c r="K134" s="6">
        <f>IF($D134="Custom","",IFERROR(XLOOKUP($B134&amp;"|"&amp;$D134,ShiftKnowledge!$A$2:$A$9,ShiftKnowledge!$H$2:$H$9,""),IFERROR(INDEX(ShiftKnowledge!$H$2:$H$9,MATCH($B134&amp;"|"&amp;$D134,ShiftKnowledge!$A$2:$A$9,0)),"")))</f>
        <v/>
      </c>
      <c r="L134" s="6">
        <f>IF($D134="Custom","",IFERROR(XLOOKUP($B134&amp;"|"&amp;$D134,ShiftKnowledge!$A$2:$A$9,ShiftKnowledge!$I$2:$I$9,""),IFERROR(INDEX(ShiftKnowledge!$I$2:$I$9,MATCH($B134&amp;"|"&amp;$D134,ShiftKnowledge!$A$2:$A$9,0)),"")))</f>
        <v/>
      </c>
      <c r="M134" s="6" t="inlineStr"/>
    </row>
    <row r="135" ht="20" customHeight="1">
      <c r="A135" s="4" t="inlineStr">
        <is>
          <t>11/11/2025</t>
        </is>
      </c>
      <c r="B135" s="4" t="inlineStr">
        <is>
          <t>Orthopaedics</t>
        </is>
      </c>
      <c r="C135" s="5" t="inlineStr">
        <is>
          <t>Dr. Ahmed Azim Abdul Shakoor</t>
        </is>
      </c>
      <c r="D135" s="4" t="inlineStr"/>
      <c r="E135" s="4">
        <f>IF($D135="Custom","",IFERROR(XLOOKUP($B135&amp;"|"&amp;$D135,ShiftKnowledge!$A$2:$A$9,ShiftKnowledge!$D$2:$D$9,""),IFERROR(INDEX(ShiftKnowledge!$D$2:$D$9,MATCH($B135&amp;"|"&amp;$D135,ShiftKnowledge!$A$2:$A$9,0)),"")))</f>
        <v/>
      </c>
      <c r="F135" s="4" t="inlineStr"/>
      <c r="G135" s="4">
        <f>IF(AND($I135="",$L135=""),"",IFERROR(VALUE($I135),0)+IFERROR(VALUE($L135),0))</f>
        <v/>
      </c>
      <c r="H135" s="4">
        <f>IF($D135="Custom","",IFERROR(XLOOKUP($B135&amp;"|"&amp;$D135,ShiftKnowledge!$A$2:$A$9,ShiftKnowledge!$E$2:$E$9,""),IFERROR(INDEX(ShiftKnowledge!$E$2:$E$9,MATCH($B135&amp;"|"&amp;$D135,ShiftKnowledge!$A$2:$A$9,0)),"")))</f>
        <v/>
      </c>
      <c r="I135" s="4">
        <f>IF($D135="Custom","",IFERROR(XLOOKUP($B135&amp;"|"&amp;$D135,ShiftKnowledge!$A$2:$A$9,ShiftKnowledge!$F$2:$F$9,""),IFERROR(INDEX(ShiftKnowledge!$F$2:$F$9,MATCH($B135&amp;"|"&amp;$D135,ShiftKnowledge!$A$2:$A$9,0)),"")))</f>
        <v/>
      </c>
      <c r="J135" s="4">
        <f>IF($D135="Custom","",IFERROR(XLOOKUP($B135&amp;"|"&amp;$D135,ShiftKnowledge!$A$2:$A$9,ShiftKnowledge!$G$2:$G$9,""),IFERROR(INDEX(ShiftKnowledge!$G$2:$G$9,MATCH($B135&amp;"|"&amp;$D135,ShiftKnowledge!$A$2:$A$9,0)),"")))</f>
        <v/>
      </c>
      <c r="K135" s="4">
        <f>IF($D135="Custom","",IFERROR(XLOOKUP($B135&amp;"|"&amp;$D135,ShiftKnowledge!$A$2:$A$9,ShiftKnowledge!$H$2:$H$9,""),IFERROR(INDEX(ShiftKnowledge!$H$2:$H$9,MATCH($B135&amp;"|"&amp;$D135,ShiftKnowledge!$A$2:$A$9,0)),"")))</f>
        <v/>
      </c>
      <c r="L135" s="4">
        <f>IF($D135="Custom","",IFERROR(XLOOKUP($B135&amp;"|"&amp;$D135,ShiftKnowledge!$A$2:$A$9,ShiftKnowledge!$I$2:$I$9,""),IFERROR(INDEX(ShiftKnowledge!$I$2:$I$9,MATCH($B135&amp;"|"&amp;$D135,ShiftKnowledge!$A$2:$A$9,0)),"")))</f>
        <v/>
      </c>
      <c r="M135" s="4" t="inlineStr"/>
    </row>
    <row r="136" ht="20" customHeight="1">
      <c r="A136" s="6" t="inlineStr">
        <is>
          <t>11/11/2025</t>
        </is>
      </c>
      <c r="B136" s="6" t="inlineStr">
        <is>
          <t>Dermatology</t>
        </is>
      </c>
      <c r="C136" s="7" t="inlineStr">
        <is>
          <t>Dr. Ahmed Fekry Bahyeldin Khalafallah</t>
        </is>
      </c>
      <c r="D136" s="6" t="inlineStr"/>
      <c r="E136" s="6">
        <f>IF($D136="Custom","",IFERROR(XLOOKUP($B136&amp;"|"&amp;$D136,ShiftKnowledge!$A$2:$A$9,ShiftKnowledge!$D$2:$D$9,""),IFERROR(INDEX(ShiftKnowledge!$D$2:$D$9,MATCH($B136&amp;"|"&amp;$D136,ShiftKnowledge!$A$2:$A$9,0)),"")))</f>
        <v/>
      </c>
      <c r="F136" s="6" t="inlineStr"/>
      <c r="G136" s="6">
        <f>IF(AND($I136="",$L136=""),"",IFERROR(VALUE($I136),0)+IFERROR(VALUE($L136),0))</f>
        <v/>
      </c>
      <c r="H136" s="6">
        <f>IF($D136="Custom","",IFERROR(XLOOKUP($B136&amp;"|"&amp;$D136,ShiftKnowledge!$A$2:$A$9,ShiftKnowledge!$E$2:$E$9,""),IFERROR(INDEX(ShiftKnowledge!$E$2:$E$9,MATCH($B136&amp;"|"&amp;$D136,ShiftKnowledge!$A$2:$A$9,0)),"")))</f>
        <v/>
      </c>
      <c r="I136" s="6">
        <f>IF($D136="Custom","",IFERROR(XLOOKUP($B136&amp;"|"&amp;$D136,ShiftKnowledge!$A$2:$A$9,ShiftKnowledge!$F$2:$F$9,""),IFERROR(INDEX(ShiftKnowledge!$F$2:$F$9,MATCH($B136&amp;"|"&amp;$D136,ShiftKnowledge!$A$2:$A$9,0)),"")))</f>
        <v/>
      </c>
      <c r="J136" s="6">
        <f>IF($D136="Custom","",IFERROR(XLOOKUP($B136&amp;"|"&amp;$D136,ShiftKnowledge!$A$2:$A$9,ShiftKnowledge!$G$2:$G$9,""),IFERROR(INDEX(ShiftKnowledge!$G$2:$G$9,MATCH($B136&amp;"|"&amp;$D136,ShiftKnowledge!$A$2:$A$9,0)),"")))</f>
        <v/>
      </c>
      <c r="K136" s="6">
        <f>IF($D136="Custom","",IFERROR(XLOOKUP($B136&amp;"|"&amp;$D136,ShiftKnowledge!$A$2:$A$9,ShiftKnowledge!$H$2:$H$9,""),IFERROR(INDEX(ShiftKnowledge!$H$2:$H$9,MATCH($B136&amp;"|"&amp;$D136,ShiftKnowledge!$A$2:$A$9,0)),"")))</f>
        <v/>
      </c>
      <c r="L136" s="6">
        <f>IF($D136="Custom","",IFERROR(XLOOKUP($B136&amp;"|"&amp;$D136,ShiftKnowledge!$A$2:$A$9,ShiftKnowledge!$I$2:$I$9,""),IFERROR(INDEX(ShiftKnowledge!$I$2:$I$9,MATCH($B136&amp;"|"&amp;$D136,ShiftKnowledge!$A$2:$A$9,0)),"")))</f>
        <v/>
      </c>
      <c r="M136" s="6" t="inlineStr"/>
    </row>
    <row r="137" ht="20" customHeight="1">
      <c r="A137" s="4" t="inlineStr">
        <is>
          <t>11/11/2025</t>
        </is>
      </c>
      <c r="B137" s="4" t="inlineStr">
        <is>
          <t>Pulmonology</t>
        </is>
      </c>
      <c r="C137" s="5" t="inlineStr">
        <is>
          <t>Dr. Ahmed Gamal Youssef Meselhi</t>
        </is>
      </c>
      <c r="D137" s="4" t="inlineStr"/>
      <c r="E137" s="4">
        <f>IF($D137="Custom","",IFERROR(XLOOKUP($B137&amp;"|"&amp;$D137,ShiftKnowledge!$A$2:$A$9,ShiftKnowledge!$D$2:$D$9,""),IFERROR(INDEX(ShiftKnowledge!$D$2:$D$9,MATCH($B137&amp;"|"&amp;$D137,ShiftKnowledge!$A$2:$A$9,0)),"")))</f>
        <v/>
      </c>
      <c r="F137" s="4" t="inlineStr"/>
      <c r="G137" s="4">
        <f>IF(AND($I137="",$L137=""),"",IFERROR(VALUE($I137),0)+IFERROR(VALUE($L137),0))</f>
        <v/>
      </c>
      <c r="H137" s="4">
        <f>IF($D137="Custom","",IFERROR(XLOOKUP($B137&amp;"|"&amp;$D137,ShiftKnowledge!$A$2:$A$9,ShiftKnowledge!$E$2:$E$9,""),IFERROR(INDEX(ShiftKnowledge!$E$2:$E$9,MATCH($B137&amp;"|"&amp;$D137,ShiftKnowledge!$A$2:$A$9,0)),"")))</f>
        <v/>
      </c>
      <c r="I137" s="4">
        <f>IF($D137="Custom","",IFERROR(XLOOKUP($B137&amp;"|"&amp;$D137,ShiftKnowledge!$A$2:$A$9,ShiftKnowledge!$F$2:$F$9,""),IFERROR(INDEX(ShiftKnowledge!$F$2:$F$9,MATCH($B137&amp;"|"&amp;$D137,ShiftKnowledge!$A$2:$A$9,0)),"")))</f>
        <v/>
      </c>
      <c r="J137" s="4">
        <f>IF($D137="Custom","",IFERROR(XLOOKUP($B137&amp;"|"&amp;$D137,ShiftKnowledge!$A$2:$A$9,ShiftKnowledge!$G$2:$G$9,""),IFERROR(INDEX(ShiftKnowledge!$G$2:$G$9,MATCH($B137&amp;"|"&amp;$D137,ShiftKnowledge!$A$2:$A$9,0)),"")))</f>
        <v/>
      </c>
      <c r="K137" s="4">
        <f>IF($D137="Custom","",IFERROR(XLOOKUP($B137&amp;"|"&amp;$D137,ShiftKnowledge!$A$2:$A$9,ShiftKnowledge!$H$2:$H$9,""),IFERROR(INDEX(ShiftKnowledge!$H$2:$H$9,MATCH($B137&amp;"|"&amp;$D137,ShiftKnowledge!$A$2:$A$9,0)),"")))</f>
        <v/>
      </c>
      <c r="L137" s="4">
        <f>IF($D137="Custom","",IFERROR(XLOOKUP($B137&amp;"|"&amp;$D137,ShiftKnowledge!$A$2:$A$9,ShiftKnowledge!$I$2:$I$9,""),IFERROR(INDEX(ShiftKnowledge!$I$2:$I$9,MATCH($B137&amp;"|"&amp;$D137,ShiftKnowledge!$A$2:$A$9,0)),"")))</f>
        <v/>
      </c>
      <c r="M137" s="4" t="inlineStr"/>
    </row>
    <row r="138" ht="20" customHeight="1">
      <c r="A138" s="6" t="inlineStr">
        <is>
          <t>11/11/2025</t>
        </is>
      </c>
      <c r="B138" s="6" t="inlineStr">
        <is>
          <t>Dental</t>
        </is>
      </c>
      <c r="C138" s="7" t="inlineStr">
        <is>
          <t>Dr. Aishath Suha Ali</t>
        </is>
      </c>
      <c r="D138" s="6" t="inlineStr"/>
      <c r="E138" s="6">
        <f>IF($D138="Custom","",IFERROR(XLOOKUP($B138&amp;"|"&amp;$D138,ShiftKnowledge!$A$2:$A$9,ShiftKnowledge!$D$2:$D$9,""),IFERROR(INDEX(ShiftKnowledge!$D$2:$D$9,MATCH($B138&amp;"|"&amp;$D138,ShiftKnowledge!$A$2:$A$9,0)),"")))</f>
        <v/>
      </c>
      <c r="F138" s="6" t="inlineStr"/>
      <c r="G138" s="6">
        <f>IF(AND($I138="",$L138=""),"",IFERROR(VALUE($I138),0)+IFERROR(VALUE($L138),0))</f>
        <v/>
      </c>
      <c r="H138" s="6">
        <f>IF($D138="Custom","",IFERROR(XLOOKUP($B138&amp;"|"&amp;$D138,ShiftKnowledge!$A$2:$A$9,ShiftKnowledge!$E$2:$E$9,""),IFERROR(INDEX(ShiftKnowledge!$E$2:$E$9,MATCH($B138&amp;"|"&amp;$D138,ShiftKnowledge!$A$2:$A$9,0)),"")))</f>
        <v/>
      </c>
      <c r="I138" s="6">
        <f>IF($D138="Custom","",IFERROR(XLOOKUP($B138&amp;"|"&amp;$D138,ShiftKnowledge!$A$2:$A$9,ShiftKnowledge!$F$2:$F$9,""),IFERROR(INDEX(ShiftKnowledge!$F$2:$F$9,MATCH($B138&amp;"|"&amp;$D138,ShiftKnowledge!$A$2:$A$9,0)),"")))</f>
        <v/>
      </c>
      <c r="J138" s="6">
        <f>IF($D138="Custom","",IFERROR(XLOOKUP($B138&amp;"|"&amp;$D138,ShiftKnowledge!$A$2:$A$9,ShiftKnowledge!$G$2:$G$9,""),IFERROR(INDEX(ShiftKnowledge!$G$2:$G$9,MATCH($B138&amp;"|"&amp;$D138,ShiftKnowledge!$A$2:$A$9,0)),"")))</f>
        <v/>
      </c>
      <c r="K138" s="6">
        <f>IF($D138="Custom","",IFERROR(XLOOKUP($B138&amp;"|"&amp;$D138,ShiftKnowledge!$A$2:$A$9,ShiftKnowledge!$H$2:$H$9,""),IFERROR(INDEX(ShiftKnowledge!$H$2:$H$9,MATCH($B138&amp;"|"&amp;$D138,ShiftKnowledge!$A$2:$A$9,0)),"")))</f>
        <v/>
      </c>
      <c r="L138" s="6">
        <f>IF($D138="Custom","",IFERROR(XLOOKUP($B138&amp;"|"&amp;$D138,ShiftKnowledge!$A$2:$A$9,ShiftKnowledge!$I$2:$I$9,""),IFERROR(INDEX(ShiftKnowledge!$I$2:$I$9,MATCH($B138&amp;"|"&amp;$D138,ShiftKnowledge!$A$2:$A$9,0)),"")))</f>
        <v/>
      </c>
      <c r="M138" s="6" t="inlineStr"/>
    </row>
    <row r="139" ht="20" customHeight="1">
      <c r="A139" s="4" t="inlineStr">
        <is>
          <t>11/11/2025</t>
        </is>
      </c>
      <c r="B139" s="4" t="inlineStr">
        <is>
          <t>Paediatrics</t>
        </is>
      </c>
      <c r="C139" s="5" t="inlineStr">
        <is>
          <t>Dr. Alaa Adel Ahmed Sayed Ahmed Sobeih Elamawey</t>
        </is>
      </c>
      <c r="D139" s="4" t="inlineStr"/>
      <c r="E139" s="4">
        <f>IF($D139="Custom","",IFERROR(XLOOKUP($B139&amp;"|"&amp;$D139,ShiftKnowledge!$A$2:$A$9,ShiftKnowledge!$D$2:$D$9,""),IFERROR(INDEX(ShiftKnowledge!$D$2:$D$9,MATCH($B139&amp;"|"&amp;$D139,ShiftKnowledge!$A$2:$A$9,0)),"")))</f>
        <v/>
      </c>
      <c r="F139" s="4" t="inlineStr"/>
      <c r="G139" s="4">
        <f>IF(AND($I139="",$L139=""),"",IFERROR(VALUE($I139),0)+IFERROR(VALUE($L139),0))</f>
        <v/>
      </c>
      <c r="H139" s="4">
        <f>IF($D139="Custom","",IFERROR(XLOOKUP($B139&amp;"|"&amp;$D139,ShiftKnowledge!$A$2:$A$9,ShiftKnowledge!$E$2:$E$9,""),IFERROR(INDEX(ShiftKnowledge!$E$2:$E$9,MATCH($B139&amp;"|"&amp;$D139,ShiftKnowledge!$A$2:$A$9,0)),"")))</f>
        <v/>
      </c>
      <c r="I139" s="4">
        <f>IF($D139="Custom","",IFERROR(XLOOKUP($B139&amp;"|"&amp;$D139,ShiftKnowledge!$A$2:$A$9,ShiftKnowledge!$F$2:$F$9,""),IFERROR(INDEX(ShiftKnowledge!$F$2:$F$9,MATCH($B139&amp;"|"&amp;$D139,ShiftKnowledge!$A$2:$A$9,0)),"")))</f>
        <v/>
      </c>
      <c r="J139" s="4">
        <f>IF($D139="Custom","",IFERROR(XLOOKUP($B139&amp;"|"&amp;$D139,ShiftKnowledge!$A$2:$A$9,ShiftKnowledge!$G$2:$G$9,""),IFERROR(INDEX(ShiftKnowledge!$G$2:$G$9,MATCH($B139&amp;"|"&amp;$D139,ShiftKnowledge!$A$2:$A$9,0)),"")))</f>
        <v/>
      </c>
      <c r="K139" s="4">
        <f>IF($D139="Custom","",IFERROR(XLOOKUP($B139&amp;"|"&amp;$D139,ShiftKnowledge!$A$2:$A$9,ShiftKnowledge!$H$2:$H$9,""),IFERROR(INDEX(ShiftKnowledge!$H$2:$H$9,MATCH($B139&amp;"|"&amp;$D139,ShiftKnowledge!$A$2:$A$9,0)),"")))</f>
        <v/>
      </c>
      <c r="L139" s="4">
        <f>IF($D139="Custom","",IFERROR(XLOOKUP($B139&amp;"|"&amp;$D139,ShiftKnowledge!$A$2:$A$9,ShiftKnowledge!$I$2:$I$9,""),IFERROR(INDEX(ShiftKnowledge!$I$2:$I$9,MATCH($B139&amp;"|"&amp;$D139,ShiftKnowledge!$A$2:$A$9,0)),"")))</f>
        <v/>
      </c>
      <c r="M139" s="4" t="inlineStr"/>
    </row>
    <row r="140" ht="20" customHeight="1">
      <c r="A140" s="6" t="inlineStr">
        <is>
          <t>11/11/2025</t>
        </is>
      </c>
      <c r="B140" s="6" t="inlineStr">
        <is>
          <t>Paediatrics</t>
        </is>
      </c>
      <c r="C140" s="7" t="inlineStr">
        <is>
          <t>Dr. Alisha Joshi</t>
        </is>
      </c>
      <c r="D140" s="6" t="inlineStr"/>
      <c r="E140" s="6">
        <f>IF($D140="Custom","",IFERROR(XLOOKUP($B140&amp;"|"&amp;$D140,ShiftKnowledge!$A$2:$A$9,ShiftKnowledge!$D$2:$D$9,""),IFERROR(INDEX(ShiftKnowledge!$D$2:$D$9,MATCH($B140&amp;"|"&amp;$D140,ShiftKnowledge!$A$2:$A$9,0)),"")))</f>
        <v/>
      </c>
      <c r="F140" s="6" t="inlineStr"/>
      <c r="G140" s="6">
        <f>IF(AND($I140="",$L140=""),"",IFERROR(VALUE($I140),0)+IFERROR(VALUE($L140),0))</f>
        <v/>
      </c>
      <c r="H140" s="6">
        <f>IF($D140="Custom","",IFERROR(XLOOKUP($B140&amp;"|"&amp;$D140,ShiftKnowledge!$A$2:$A$9,ShiftKnowledge!$E$2:$E$9,""),IFERROR(INDEX(ShiftKnowledge!$E$2:$E$9,MATCH($B140&amp;"|"&amp;$D140,ShiftKnowledge!$A$2:$A$9,0)),"")))</f>
        <v/>
      </c>
      <c r="I140" s="6">
        <f>IF($D140="Custom","",IFERROR(XLOOKUP($B140&amp;"|"&amp;$D140,ShiftKnowledge!$A$2:$A$9,ShiftKnowledge!$F$2:$F$9,""),IFERROR(INDEX(ShiftKnowledge!$F$2:$F$9,MATCH($B140&amp;"|"&amp;$D140,ShiftKnowledge!$A$2:$A$9,0)),"")))</f>
        <v/>
      </c>
      <c r="J140" s="6">
        <f>IF($D140="Custom","",IFERROR(XLOOKUP($B140&amp;"|"&amp;$D140,ShiftKnowledge!$A$2:$A$9,ShiftKnowledge!$G$2:$G$9,""),IFERROR(INDEX(ShiftKnowledge!$G$2:$G$9,MATCH($B140&amp;"|"&amp;$D140,ShiftKnowledge!$A$2:$A$9,0)),"")))</f>
        <v/>
      </c>
      <c r="K140" s="6">
        <f>IF($D140="Custom","",IFERROR(XLOOKUP($B140&amp;"|"&amp;$D140,ShiftKnowledge!$A$2:$A$9,ShiftKnowledge!$H$2:$H$9,""),IFERROR(INDEX(ShiftKnowledge!$H$2:$H$9,MATCH($B140&amp;"|"&amp;$D140,ShiftKnowledge!$A$2:$A$9,0)),"")))</f>
        <v/>
      </c>
      <c r="L140" s="6">
        <f>IF($D140="Custom","",IFERROR(XLOOKUP($B140&amp;"|"&amp;$D140,ShiftKnowledge!$A$2:$A$9,ShiftKnowledge!$I$2:$I$9,""),IFERROR(INDEX(ShiftKnowledge!$I$2:$I$9,MATCH($B140&amp;"|"&amp;$D140,ShiftKnowledge!$A$2:$A$9,0)),"")))</f>
        <v/>
      </c>
      <c r="M140" s="6" t="inlineStr"/>
    </row>
    <row r="141" ht="20" customHeight="1">
      <c r="A141" s="4" t="inlineStr">
        <is>
          <t>11/11/2025</t>
        </is>
      </c>
      <c r="B141" s="4" t="inlineStr">
        <is>
          <t>Dental</t>
        </is>
      </c>
      <c r="C141" s="5" t="inlineStr">
        <is>
          <t>Dr. Aminath Dhunyana</t>
        </is>
      </c>
      <c r="D141" s="4" t="inlineStr"/>
      <c r="E141" s="4">
        <f>IF($D141="Custom","",IFERROR(XLOOKUP($B141&amp;"|"&amp;$D141,ShiftKnowledge!$A$2:$A$9,ShiftKnowledge!$D$2:$D$9,""),IFERROR(INDEX(ShiftKnowledge!$D$2:$D$9,MATCH($B141&amp;"|"&amp;$D141,ShiftKnowledge!$A$2:$A$9,0)),"")))</f>
        <v/>
      </c>
      <c r="F141" s="4" t="inlineStr"/>
      <c r="G141" s="4">
        <f>IF(AND($I141="",$L141=""),"",IFERROR(VALUE($I141),0)+IFERROR(VALUE($L141),0))</f>
        <v/>
      </c>
      <c r="H141" s="4">
        <f>IF($D141="Custom","",IFERROR(XLOOKUP($B141&amp;"|"&amp;$D141,ShiftKnowledge!$A$2:$A$9,ShiftKnowledge!$E$2:$E$9,""),IFERROR(INDEX(ShiftKnowledge!$E$2:$E$9,MATCH($B141&amp;"|"&amp;$D141,ShiftKnowledge!$A$2:$A$9,0)),"")))</f>
        <v/>
      </c>
      <c r="I141" s="4">
        <f>IF($D141="Custom","",IFERROR(XLOOKUP($B141&amp;"|"&amp;$D141,ShiftKnowledge!$A$2:$A$9,ShiftKnowledge!$F$2:$F$9,""),IFERROR(INDEX(ShiftKnowledge!$F$2:$F$9,MATCH($B141&amp;"|"&amp;$D141,ShiftKnowledge!$A$2:$A$9,0)),"")))</f>
        <v/>
      </c>
      <c r="J141" s="4">
        <f>IF($D141="Custom","",IFERROR(XLOOKUP($B141&amp;"|"&amp;$D141,ShiftKnowledge!$A$2:$A$9,ShiftKnowledge!$G$2:$G$9,""),IFERROR(INDEX(ShiftKnowledge!$G$2:$G$9,MATCH($B141&amp;"|"&amp;$D141,ShiftKnowledge!$A$2:$A$9,0)),"")))</f>
        <v/>
      </c>
      <c r="K141" s="4">
        <f>IF($D141="Custom","",IFERROR(XLOOKUP($B141&amp;"|"&amp;$D141,ShiftKnowledge!$A$2:$A$9,ShiftKnowledge!$H$2:$H$9,""),IFERROR(INDEX(ShiftKnowledge!$H$2:$H$9,MATCH($B141&amp;"|"&amp;$D141,ShiftKnowledge!$A$2:$A$9,0)),"")))</f>
        <v/>
      </c>
      <c r="L141" s="4">
        <f>IF($D141="Custom","",IFERROR(XLOOKUP($B141&amp;"|"&amp;$D141,ShiftKnowledge!$A$2:$A$9,ShiftKnowledge!$I$2:$I$9,""),IFERROR(INDEX(ShiftKnowledge!$I$2:$I$9,MATCH($B141&amp;"|"&amp;$D141,ShiftKnowledge!$A$2:$A$9,0)),"")))</f>
        <v/>
      </c>
      <c r="M141" s="4" t="inlineStr"/>
    </row>
    <row r="142" ht="20" customHeight="1">
      <c r="A142" s="6" t="inlineStr">
        <is>
          <t>11/11/2025</t>
        </is>
      </c>
      <c r="B142" s="6" t="inlineStr">
        <is>
          <t>Gynaecology</t>
        </is>
      </c>
      <c r="C142" s="7" t="inlineStr">
        <is>
          <t>Dr. Aminath Juhaina</t>
        </is>
      </c>
      <c r="D142" s="6" t="inlineStr"/>
      <c r="E142" s="6">
        <f>IF($D142="Custom","",IFERROR(XLOOKUP($B142&amp;"|"&amp;$D142,ShiftKnowledge!$A$2:$A$9,ShiftKnowledge!$D$2:$D$9,""),IFERROR(INDEX(ShiftKnowledge!$D$2:$D$9,MATCH($B142&amp;"|"&amp;$D142,ShiftKnowledge!$A$2:$A$9,0)),"")))</f>
        <v/>
      </c>
      <c r="F142" s="6" t="inlineStr"/>
      <c r="G142" s="6">
        <f>IF(AND($I142="",$L142=""),"",IFERROR(VALUE($I142),0)+IFERROR(VALUE($L142),0))</f>
        <v/>
      </c>
      <c r="H142" s="6">
        <f>IF($D142="Custom","",IFERROR(XLOOKUP($B142&amp;"|"&amp;$D142,ShiftKnowledge!$A$2:$A$9,ShiftKnowledge!$E$2:$E$9,""),IFERROR(INDEX(ShiftKnowledge!$E$2:$E$9,MATCH($B142&amp;"|"&amp;$D142,ShiftKnowledge!$A$2:$A$9,0)),"")))</f>
        <v/>
      </c>
      <c r="I142" s="6">
        <f>IF($D142="Custom","",IFERROR(XLOOKUP($B142&amp;"|"&amp;$D142,ShiftKnowledge!$A$2:$A$9,ShiftKnowledge!$F$2:$F$9,""),IFERROR(INDEX(ShiftKnowledge!$F$2:$F$9,MATCH($B142&amp;"|"&amp;$D142,ShiftKnowledge!$A$2:$A$9,0)),"")))</f>
        <v/>
      </c>
      <c r="J142" s="6">
        <f>IF($D142="Custom","",IFERROR(XLOOKUP($B142&amp;"|"&amp;$D142,ShiftKnowledge!$A$2:$A$9,ShiftKnowledge!$G$2:$G$9,""),IFERROR(INDEX(ShiftKnowledge!$G$2:$G$9,MATCH($B142&amp;"|"&amp;$D142,ShiftKnowledge!$A$2:$A$9,0)),"")))</f>
        <v/>
      </c>
      <c r="K142" s="6">
        <f>IF($D142="Custom","",IFERROR(XLOOKUP($B142&amp;"|"&amp;$D142,ShiftKnowledge!$A$2:$A$9,ShiftKnowledge!$H$2:$H$9,""),IFERROR(INDEX(ShiftKnowledge!$H$2:$H$9,MATCH($B142&amp;"|"&amp;$D142,ShiftKnowledge!$A$2:$A$9,0)),"")))</f>
        <v/>
      </c>
      <c r="L142" s="6">
        <f>IF($D142="Custom","",IFERROR(XLOOKUP($B142&amp;"|"&amp;$D142,ShiftKnowledge!$A$2:$A$9,ShiftKnowledge!$I$2:$I$9,""),IFERROR(INDEX(ShiftKnowledge!$I$2:$I$9,MATCH($B142&amp;"|"&amp;$D142,ShiftKnowledge!$A$2:$A$9,0)),"")))</f>
        <v/>
      </c>
      <c r="M142" s="6" t="inlineStr"/>
    </row>
    <row r="143" ht="20" customHeight="1">
      <c r="A143" s="4" t="inlineStr">
        <is>
          <t>11/11/2025</t>
        </is>
      </c>
      <c r="B143" s="4" t="inlineStr">
        <is>
          <t>Dental</t>
        </is>
      </c>
      <c r="C143" s="5" t="inlineStr">
        <is>
          <t>Dr. Aminath Khazna Musthafa</t>
        </is>
      </c>
      <c r="D143" s="4" t="inlineStr"/>
      <c r="E143" s="4">
        <f>IF($D143="Custom","",IFERROR(XLOOKUP($B143&amp;"|"&amp;$D143,ShiftKnowledge!$A$2:$A$9,ShiftKnowledge!$D$2:$D$9,""),IFERROR(INDEX(ShiftKnowledge!$D$2:$D$9,MATCH($B143&amp;"|"&amp;$D143,ShiftKnowledge!$A$2:$A$9,0)),"")))</f>
        <v/>
      </c>
      <c r="F143" s="4" t="inlineStr"/>
      <c r="G143" s="4">
        <f>IF(AND($I143="",$L143=""),"",IFERROR(VALUE($I143),0)+IFERROR(VALUE($L143),0))</f>
        <v/>
      </c>
      <c r="H143" s="4">
        <f>IF($D143="Custom","",IFERROR(XLOOKUP($B143&amp;"|"&amp;$D143,ShiftKnowledge!$A$2:$A$9,ShiftKnowledge!$E$2:$E$9,""),IFERROR(INDEX(ShiftKnowledge!$E$2:$E$9,MATCH($B143&amp;"|"&amp;$D143,ShiftKnowledge!$A$2:$A$9,0)),"")))</f>
        <v/>
      </c>
      <c r="I143" s="4">
        <f>IF($D143="Custom","",IFERROR(XLOOKUP($B143&amp;"|"&amp;$D143,ShiftKnowledge!$A$2:$A$9,ShiftKnowledge!$F$2:$F$9,""),IFERROR(INDEX(ShiftKnowledge!$F$2:$F$9,MATCH($B143&amp;"|"&amp;$D143,ShiftKnowledge!$A$2:$A$9,0)),"")))</f>
        <v/>
      </c>
      <c r="J143" s="4">
        <f>IF($D143="Custom","",IFERROR(XLOOKUP($B143&amp;"|"&amp;$D143,ShiftKnowledge!$A$2:$A$9,ShiftKnowledge!$G$2:$G$9,""),IFERROR(INDEX(ShiftKnowledge!$G$2:$G$9,MATCH($B143&amp;"|"&amp;$D143,ShiftKnowledge!$A$2:$A$9,0)),"")))</f>
        <v/>
      </c>
      <c r="K143" s="4">
        <f>IF($D143="Custom","",IFERROR(XLOOKUP($B143&amp;"|"&amp;$D143,ShiftKnowledge!$A$2:$A$9,ShiftKnowledge!$H$2:$H$9,""),IFERROR(INDEX(ShiftKnowledge!$H$2:$H$9,MATCH($B143&amp;"|"&amp;$D143,ShiftKnowledge!$A$2:$A$9,0)),"")))</f>
        <v/>
      </c>
      <c r="L143" s="4">
        <f>IF($D143="Custom","",IFERROR(XLOOKUP($B143&amp;"|"&amp;$D143,ShiftKnowledge!$A$2:$A$9,ShiftKnowledge!$I$2:$I$9,""),IFERROR(INDEX(ShiftKnowledge!$I$2:$I$9,MATCH($B143&amp;"|"&amp;$D143,ShiftKnowledge!$A$2:$A$9,0)),"")))</f>
        <v/>
      </c>
      <c r="M143" s="4" t="inlineStr"/>
    </row>
    <row r="144" ht="20" customHeight="1">
      <c r="A144" s="6" t="inlineStr">
        <is>
          <t>11/11/2025</t>
        </is>
      </c>
      <c r="B144" s="6" t="inlineStr">
        <is>
          <t>Internal Medicine</t>
        </is>
      </c>
      <c r="C144" s="7" t="inlineStr">
        <is>
          <t>Dr. Aminath Munaza</t>
        </is>
      </c>
      <c r="D144" s="6" t="inlineStr"/>
      <c r="E144" s="6">
        <f>IF($D144="Custom","",IFERROR(XLOOKUP($B144&amp;"|"&amp;$D144,ShiftKnowledge!$A$2:$A$9,ShiftKnowledge!$D$2:$D$9,""),IFERROR(INDEX(ShiftKnowledge!$D$2:$D$9,MATCH($B144&amp;"|"&amp;$D144,ShiftKnowledge!$A$2:$A$9,0)),"")))</f>
        <v/>
      </c>
      <c r="F144" s="6" t="inlineStr"/>
      <c r="G144" s="6">
        <f>IF(AND($I144="",$L144=""),"",IFERROR(VALUE($I144),0)+IFERROR(VALUE($L144),0))</f>
        <v/>
      </c>
      <c r="H144" s="6">
        <f>IF($D144="Custom","",IFERROR(XLOOKUP($B144&amp;"|"&amp;$D144,ShiftKnowledge!$A$2:$A$9,ShiftKnowledge!$E$2:$E$9,""),IFERROR(INDEX(ShiftKnowledge!$E$2:$E$9,MATCH($B144&amp;"|"&amp;$D144,ShiftKnowledge!$A$2:$A$9,0)),"")))</f>
        <v/>
      </c>
      <c r="I144" s="6">
        <f>IF($D144="Custom","",IFERROR(XLOOKUP($B144&amp;"|"&amp;$D144,ShiftKnowledge!$A$2:$A$9,ShiftKnowledge!$F$2:$F$9,""),IFERROR(INDEX(ShiftKnowledge!$F$2:$F$9,MATCH($B144&amp;"|"&amp;$D144,ShiftKnowledge!$A$2:$A$9,0)),"")))</f>
        <v/>
      </c>
      <c r="J144" s="6">
        <f>IF($D144="Custom","",IFERROR(XLOOKUP($B144&amp;"|"&amp;$D144,ShiftKnowledge!$A$2:$A$9,ShiftKnowledge!$G$2:$G$9,""),IFERROR(INDEX(ShiftKnowledge!$G$2:$G$9,MATCH($B144&amp;"|"&amp;$D144,ShiftKnowledge!$A$2:$A$9,0)),"")))</f>
        <v/>
      </c>
      <c r="K144" s="6">
        <f>IF($D144="Custom","",IFERROR(XLOOKUP($B144&amp;"|"&amp;$D144,ShiftKnowledge!$A$2:$A$9,ShiftKnowledge!$H$2:$H$9,""),IFERROR(INDEX(ShiftKnowledge!$H$2:$H$9,MATCH($B144&amp;"|"&amp;$D144,ShiftKnowledge!$A$2:$A$9,0)),"")))</f>
        <v/>
      </c>
      <c r="L144" s="6">
        <f>IF($D144="Custom","",IFERROR(XLOOKUP($B144&amp;"|"&amp;$D144,ShiftKnowledge!$A$2:$A$9,ShiftKnowledge!$I$2:$I$9,""),IFERROR(INDEX(ShiftKnowledge!$I$2:$I$9,MATCH($B144&amp;"|"&amp;$D144,ShiftKnowledge!$A$2:$A$9,0)),"")))</f>
        <v/>
      </c>
      <c r="M144" s="6" t="inlineStr"/>
    </row>
    <row r="145" ht="20" customHeight="1">
      <c r="A145" s="4" t="inlineStr">
        <is>
          <t>11/11/2025</t>
        </is>
      </c>
      <c r="B145" s="4" t="inlineStr">
        <is>
          <t>Psychiatry</t>
        </is>
      </c>
      <c r="C145" s="5" t="inlineStr">
        <is>
          <t>Dr. Anas Mohamed Anwar Ahmed Ali</t>
        </is>
      </c>
      <c r="D145" s="4" t="inlineStr"/>
      <c r="E145" s="4">
        <f>IF($D145="Custom","",IFERROR(XLOOKUP($B145&amp;"|"&amp;$D145,ShiftKnowledge!$A$2:$A$9,ShiftKnowledge!$D$2:$D$9,""),IFERROR(INDEX(ShiftKnowledge!$D$2:$D$9,MATCH($B145&amp;"|"&amp;$D145,ShiftKnowledge!$A$2:$A$9,0)),"")))</f>
        <v/>
      </c>
      <c r="F145" s="4" t="inlineStr"/>
      <c r="G145" s="4">
        <f>IF(AND($I145="",$L145=""),"",IFERROR(VALUE($I145),0)+IFERROR(VALUE($L145),0))</f>
        <v/>
      </c>
      <c r="H145" s="4">
        <f>IF($D145="Custom","",IFERROR(XLOOKUP($B145&amp;"|"&amp;$D145,ShiftKnowledge!$A$2:$A$9,ShiftKnowledge!$E$2:$E$9,""),IFERROR(INDEX(ShiftKnowledge!$E$2:$E$9,MATCH($B145&amp;"|"&amp;$D145,ShiftKnowledge!$A$2:$A$9,0)),"")))</f>
        <v/>
      </c>
      <c r="I145" s="4">
        <f>IF($D145="Custom","",IFERROR(XLOOKUP($B145&amp;"|"&amp;$D145,ShiftKnowledge!$A$2:$A$9,ShiftKnowledge!$F$2:$F$9,""),IFERROR(INDEX(ShiftKnowledge!$F$2:$F$9,MATCH($B145&amp;"|"&amp;$D145,ShiftKnowledge!$A$2:$A$9,0)),"")))</f>
        <v/>
      </c>
      <c r="J145" s="4">
        <f>IF($D145="Custom","",IFERROR(XLOOKUP($B145&amp;"|"&amp;$D145,ShiftKnowledge!$A$2:$A$9,ShiftKnowledge!$G$2:$G$9,""),IFERROR(INDEX(ShiftKnowledge!$G$2:$G$9,MATCH($B145&amp;"|"&amp;$D145,ShiftKnowledge!$A$2:$A$9,0)),"")))</f>
        <v/>
      </c>
      <c r="K145" s="4">
        <f>IF($D145="Custom","",IFERROR(XLOOKUP($B145&amp;"|"&amp;$D145,ShiftKnowledge!$A$2:$A$9,ShiftKnowledge!$H$2:$H$9,""),IFERROR(INDEX(ShiftKnowledge!$H$2:$H$9,MATCH($B145&amp;"|"&amp;$D145,ShiftKnowledge!$A$2:$A$9,0)),"")))</f>
        <v/>
      </c>
      <c r="L145" s="4">
        <f>IF($D145="Custom","",IFERROR(XLOOKUP($B145&amp;"|"&amp;$D145,ShiftKnowledge!$A$2:$A$9,ShiftKnowledge!$I$2:$I$9,""),IFERROR(INDEX(ShiftKnowledge!$I$2:$I$9,MATCH($B145&amp;"|"&amp;$D145,ShiftKnowledge!$A$2:$A$9,0)),"")))</f>
        <v/>
      </c>
      <c r="M145" s="4" t="inlineStr"/>
    </row>
    <row r="146" ht="20" customHeight="1">
      <c r="A146" s="6" t="inlineStr">
        <is>
          <t>11/11/2025</t>
        </is>
      </c>
      <c r="B146" s="6" t="inlineStr">
        <is>
          <t>Oral Maxillo facial surgery (OMS)</t>
        </is>
      </c>
      <c r="C146" s="7" t="inlineStr">
        <is>
          <t>Dr. Arpita Singh</t>
        </is>
      </c>
      <c r="D146" s="6" t="inlineStr"/>
      <c r="E146" s="6">
        <f>IF($D146="Custom","",IFERROR(XLOOKUP($B146&amp;"|"&amp;$D146,ShiftKnowledge!$A$2:$A$9,ShiftKnowledge!$D$2:$D$9,""),IFERROR(INDEX(ShiftKnowledge!$D$2:$D$9,MATCH($B146&amp;"|"&amp;$D146,ShiftKnowledge!$A$2:$A$9,0)),"")))</f>
        <v/>
      </c>
      <c r="F146" s="6" t="inlineStr"/>
      <c r="G146" s="6">
        <f>IF(AND($I146="",$L146=""),"",IFERROR(VALUE($I146),0)+IFERROR(VALUE($L146),0))</f>
        <v/>
      </c>
      <c r="H146" s="6">
        <f>IF($D146="Custom","",IFERROR(XLOOKUP($B146&amp;"|"&amp;$D146,ShiftKnowledge!$A$2:$A$9,ShiftKnowledge!$E$2:$E$9,""),IFERROR(INDEX(ShiftKnowledge!$E$2:$E$9,MATCH($B146&amp;"|"&amp;$D146,ShiftKnowledge!$A$2:$A$9,0)),"")))</f>
        <v/>
      </c>
      <c r="I146" s="6">
        <f>IF($D146="Custom","",IFERROR(XLOOKUP($B146&amp;"|"&amp;$D146,ShiftKnowledge!$A$2:$A$9,ShiftKnowledge!$F$2:$F$9,""),IFERROR(INDEX(ShiftKnowledge!$F$2:$F$9,MATCH($B146&amp;"|"&amp;$D146,ShiftKnowledge!$A$2:$A$9,0)),"")))</f>
        <v/>
      </c>
      <c r="J146" s="6">
        <f>IF($D146="Custom","",IFERROR(XLOOKUP($B146&amp;"|"&amp;$D146,ShiftKnowledge!$A$2:$A$9,ShiftKnowledge!$G$2:$G$9,""),IFERROR(INDEX(ShiftKnowledge!$G$2:$G$9,MATCH($B146&amp;"|"&amp;$D146,ShiftKnowledge!$A$2:$A$9,0)),"")))</f>
        <v/>
      </c>
      <c r="K146" s="6">
        <f>IF($D146="Custom","",IFERROR(XLOOKUP($B146&amp;"|"&amp;$D146,ShiftKnowledge!$A$2:$A$9,ShiftKnowledge!$H$2:$H$9,""),IFERROR(INDEX(ShiftKnowledge!$H$2:$H$9,MATCH($B146&amp;"|"&amp;$D146,ShiftKnowledge!$A$2:$A$9,0)),"")))</f>
        <v/>
      </c>
      <c r="L146" s="6">
        <f>IF($D146="Custom","",IFERROR(XLOOKUP($B146&amp;"|"&amp;$D146,ShiftKnowledge!$A$2:$A$9,ShiftKnowledge!$I$2:$I$9,""),IFERROR(INDEX(ShiftKnowledge!$I$2:$I$9,MATCH($B146&amp;"|"&amp;$D146,ShiftKnowledge!$A$2:$A$9,0)),"")))</f>
        <v/>
      </c>
      <c r="M146" s="6" t="inlineStr"/>
    </row>
    <row r="147" ht="20" customHeight="1">
      <c r="A147" s="4" t="inlineStr">
        <is>
          <t>11/11/2025</t>
        </is>
      </c>
      <c r="B147" s="4" t="inlineStr">
        <is>
          <t>Orthopaedics</t>
        </is>
      </c>
      <c r="C147" s="5" t="inlineStr">
        <is>
          <t>Dr. Asish Rajak</t>
        </is>
      </c>
      <c r="D147" s="4" t="inlineStr"/>
      <c r="E147" s="4">
        <f>IF($D147="Custom","",IFERROR(XLOOKUP($B147&amp;"|"&amp;$D147,ShiftKnowledge!$A$2:$A$9,ShiftKnowledge!$D$2:$D$9,""),IFERROR(INDEX(ShiftKnowledge!$D$2:$D$9,MATCH($B147&amp;"|"&amp;$D147,ShiftKnowledge!$A$2:$A$9,0)),"")))</f>
        <v/>
      </c>
      <c r="F147" s="4" t="inlineStr"/>
      <c r="G147" s="4">
        <f>IF(AND($I147="",$L147=""),"",IFERROR(VALUE($I147),0)+IFERROR(VALUE($L147),0))</f>
        <v/>
      </c>
      <c r="H147" s="4">
        <f>IF($D147="Custom","",IFERROR(XLOOKUP($B147&amp;"|"&amp;$D147,ShiftKnowledge!$A$2:$A$9,ShiftKnowledge!$E$2:$E$9,""),IFERROR(INDEX(ShiftKnowledge!$E$2:$E$9,MATCH($B147&amp;"|"&amp;$D147,ShiftKnowledge!$A$2:$A$9,0)),"")))</f>
        <v/>
      </c>
      <c r="I147" s="4">
        <f>IF($D147="Custom","",IFERROR(XLOOKUP($B147&amp;"|"&amp;$D147,ShiftKnowledge!$A$2:$A$9,ShiftKnowledge!$F$2:$F$9,""),IFERROR(INDEX(ShiftKnowledge!$F$2:$F$9,MATCH($B147&amp;"|"&amp;$D147,ShiftKnowledge!$A$2:$A$9,0)),"")))</f>
        <v/>
      </c>
      <c r="J147" s="4">
        <f>IF($D147="Custom","",IFERROR(XLOOKUP($B147&amp;"|"&amp;$D147,ShiftKnowledge!$A$2:$A$9,ShiftKnowledge!$G$2:$G$9,""),IFERROR(INDEX(ShiftKnowledge!$G$2:$G$9,MATCH($B147&amp;"|"&amp;$D147,ShiftKnowledge!$A$2:$A$9,0)),"")))</f>
        <v/>
      </c>
      <c r="K147" s="4">
        <f>IF($D147="Custom","",IFERROR(XLOOKUP($B147&amp;"|"&amp;$D147,ShiftKnowledge!$A$2:$A$9,ShiftKnowledge!$H$2:$H$9,""),IFERROR(INDEX(ShiftKnowledge!$H$2:$H$9,MATCH($B147&amp;"|"&amp;$D147,ShiftKnowledge!$A$2:$A$9,0)),"")))</f>
        <v/>
      </c>
      <c r="L147" s="4">
        <f>IF($D147="Custom","",IFERROR(XLOOKUP($B147&amp;"|"&amp;$D147,ShiftKnowledge!$A$2:$A$9,ShiftKnowledge!$I$2:$I$9,""),IFERROR(INDEX(ShiftKnowledge!$I$2:$I$9,MATCH($B147&amp;"|"&amp;$D147,ShiftKnowledge!$A$2:$A$9,0)),"")))</f>
        <v/>
      </c>
      <c r="M147" s="4" t="inlineStr"/>
    </row>
    <row r="148" ht="20" customHeight="1">
      <c r="A148" s="6" t="inlineStr">
        <is>
          <t>11/11/2025</t>
        </is>
      </c>
      <c r="B148" s="6" t="inlineStr">
        <is>
          <t>Dermatology</t>
        </is>
      </c>
      <c r="C148" s="7" t="inlineStr">
        <is>
          <t>Dr. Aya Gamal Kotb Mohamed Elagamy</t>
        </is>
      </c>
      <c r="D148" s="6" t="inlineStr"/>
      <c r="E148" s="6">
        <f>IF($D148="Custom","",IFERROR(XLOOKUP($B148&amp;"|"&amp;$D148,ShiftKnowledge!$A$2:$A$9,ShiftKnowledge!$D$2:$D$9,""),IFERROR(INDEX(ShiftKnowledge!$D$2:$D$9,MATCH($B148&amp;"|"&amp;$D148,ShiftKnowledge!$A$2:$A$9,0)),"")))</f>
        <v/>
      </c>
      <c r="F148" s="6" t="inlineStr"/>
      <c r="G148" s="6">
        <f>IF(AND($I148="",$L148=""),"",IFERROR(VALUE($I148),0)+IFERROR(VALUE($L148),0))</f>
        <v/>
      </c>
      <c r="H148" s="6">
        <f>IF($D148="Custom","",IFERROR(XLOOKUP($B148&amp;"|"&amp;$D148,ShiftKnowledge!$A$2:$A$9,ShiftKnowledge!$E$2:$E$9,""),IFERROR(INDEX(ShiftKnowledge!$E$2:$E$9,MATCH($B148&amp;"|"&amp;$D148,ShiftKnowledge!$A$2:$A$9,0)),"")))</f>
        <v/>
      </c>
      <c r="I148" s="6">
        <f>IF($D148="Custom","",IFERROR(XLOOKUP($B148&amp;"|"&amp;$D148,ShiftKnowledge!$A$2:$A$9,ShiftKnowledge!$F$2:$F$9,""),IFERROR(INDEX(ShiftKnowledge!$F$2:$F$9,MATCH($B148&amp;"|"&amp;$D148,ShiftKnowledge!$A$2:$A$9,0)),"")))</f>
        <v/>
      </c>
      <c r="J148" s="6">
        <f>IF($D148="Custom","",IFERROR(XLOOKUP($B148&amp;"|"&amp;$D148,ShiftKnowledge!$A$2:$A$9,ShiftKnowledge!$G$2:$G$9,""),IFERROR(INDEX(ShiftKnowledge!$G$2:$G$9,MATCH($B148&amp;"|"&amp;$D148,ShiftKnowledge!$A$2:$A$9,0)),"")))</f>
        <v/>
      </c>
      <c r="K148" s="6">
        <f>IF($D148="Custom","",IFERROR(XLOOKUP($B148&amp;"|"&amp;$D148,ShiftKnowledge!$A$2:$A$9,ShiftKnowledge!$H$2:$H$9,""),IFERROR(INDEX(ShiftKnowledge!$H$2:$H$9,MATCH($B148&amp;"|"&amp;$D148,ShiftKnowledge!$A$2:$A$9,0)),"")))</f>
        <v/>
      </c>
      <c r="L148" s="6">
        <f>IF($D148="Custom","",IFERROR(XLOOKUP($B148&amp;"|"&amp;$D148,ShiftKnowledge!$A$2:$A$9,ShiftKnowledge!$I$2:$I$9,""),IFERROR(INDEX(ShiftKnowledge!$I$2:$I$9,MATCH($B148&amp;"|"&amp;$D148,ShiftKnowledge!$A$2:$A$9,0)),"")))</f>
        <v/>
      </c>
      <c r="M148" s="6" t="inlineStr"/>
    </row>
    <row r="149" ht="20" customHeight="1">
      <c r="A149" s="4" t="inlineStr">
        <is>
          <t>11/11/2025</t>
        </is>
      </c>
      <c r="B149" s="4" t="inlineStr">
        <is>
          <t>Dental</t>
        </is>
      </c>
      <c r="C149" s="5" t="inlineStr">
        <is>
          <t>Dr. Benjamin Premkumar</t>
        </is>
      </c>
      <c r="D149" s="4" t="inlineStr"/>
      <c r="E149" s="4">
        <f>IF($D149="Custom","",IFERROR(XLOOKUP($B149&amp;"|"&amp;$D149,ShiftKnowledge!$A$2:$A$9,ShiftKnowledge!$D$2:$D$9,""),IFERROR(INDEX(ShiftKnowledge!$D$2:$D$9,MATCH($B149&amp;"|"&amp;$D149,ShiftKnowledge!$A$2:$A$9,0)),"")))</f>
        <v/>
      </c>
      <c r="F149" s="4" t="inlineStr"/>
      <c r="G149" s="4">
        <f>IF(AND($I149="",$L149=""),"",IFERROR(VALUE($I149),0)+IFERROR(VALUE($L149),0))</f>
        <v/>
      </c>
      <c r="H149" s="4">
        <f>IF($D149="Custom","",IFERROR(XLOOKUP($B149&amp;"|"&amp;$D149,ShiftKnowledge!$A$2:$A$9,ShiftKnowledge!$E$2:$E$9,""),IFERROR(INDEX(ShiftKnowledge!$E$2:$E$9,MATCH($B149&amp;"|"&amp;$D149,ShiftKnowledge!$A$2:$A$9,0)),"")))</f>
        <v/>
      </c>
      <c r="I149" s="4">
        <f>IF($D149="Custom","",IFERROR(XLOOKUP($B149&amp;"|"&amp;$D149,ShiftKnowledge!$A$2:$A$9,ShiftKnowledge!$F$2:$F$9,""),IFERROR(INDEX(ShiftKnowledge!$F$2:$F$9,MATCH($B149&amp;"|"&amp;$D149,ShiftKnowledge!$A$2:$A$9,0)),"")))</f>
        <v/>
      </c>
      <c r="J149" s="4">
        <f>IF($D149="Custom","",IFERROR(XLOOKUP($B149&amp;"|"&amp;$D149,ShiftKnowledge!$A$2:$A$9,ShiftKnowledge!$G$2:$G$9,""),IFERROR(INDEX(ShiftKnowledge!$G$2:$G$9,MATCH($B149&amp;"|"&amp;$D149,ShiftKnowledge!$A$2:$A$9,0)),"")))</f>
        <v/>
      </c>
      <c r="K149" s="4">
        <f>IF($D149="Custom","",IFERROR(XLOOKUP($B149&amp;"|"&amp;$D149,ShiftKnowledge!$A$2:$A$9,ShiftKnowledge!$H$2:$H$9,""),IFERROR(INDEX(ShiftKnowledge!$H$2:$H$9,MATCH($B149&amp;"|"&amp;$D149,ShiftKnowledge!$A$2:$A$9,0)),"")))</f>
        <v/>
      </c>
      <c r="L149" s="4">
        <f>IF($D149="Custom","",IFERROR(XLOOKUP($B149&amp;"|"&amp;$D149,ShiftKnowledge!$A$2:$A$9,ShiftKnowledge!$I$2:$I$9,""),IFERROR(INDEX(ShiftKnowledge!$I$2:$I$9,MATCH($B149&amp;"|"&amp;$D149,ShiftKnowledge!$A$2:$A$9,0)),"")))</f>
        <v/>
      </c>
      <c r="M149" s="4" t="inlineStr"/>
    </row>
    <row r="150" ht="20" customHeight="1">
      <c r="A150" s="6" t="inlineStr">
        <is>
          <t>11/11/2025</t>
        </is>
      </c>
      <c r="B150" s="6" t="inlineStr">
        <is>
          <t>Internal Medicine</t>
        </is>
      </c>
      <c r="C150" s="7" t="inlineStr">
        <is>
          <t>Dr. Cho Thway Mon</t>
        </is>
      </c>
      <c r="D150" s="6" t="inlineStr"/>
      <c r="E150" s="6">
        <f>IF($D150="Custom","",IFERROR(XLOOKUP($B150&amp;"|"&amp;$D150,ShiftKnowledge!$A$2:$A$9,ShiftKnowledge!$D$2:$D$9,""),IFERROR(INDEX(ShiftKnowledge!$D$2:$D$9,MATCH($B150&amp;"|"&amp;$D150,ShiftKnowledge!$A$2:$A$9,0)),"")))</f>
        <v/>
      </c>
      <c r="F150" s="6" t="inlineStr"/>
      <c r="G150" s="6">
        <f>IF(AND($I150="",$L150=""),"",IFERROR(VALUE($I150),0)+IFERROR(VALUE($L150),0))</f>
        <v/>
      </c>
      <c r="H150" s="6">
        <f>IF($D150="Custom","",IFERROR(XLOOKUP($B150&amp;"|"&amp;$D150,ShiftKnowledge!$A$2:$A$9,ShiftKnowledge!$E$2:$E$9,""),IFERROR(INDEX(ShiftKnowledge!$E$2:$E$9,MATCH($B150&amp;"|"&amp;$D150,ShiftKnowledge!$A$2:$A$9,0)),"")))</f>
        <v/>
      </c>
      <c r="I150" s="6">
        <f>IF($D150="Custom","",IFERROR(XLOOKUP($B150&amp;"|"&amp;$D150,ShiftKnowledge!$A$2:$A$9,ShiftKnowledge!$F$2:$F$9,""),IFERROR(INDEX(ShiftKnowledge!$F$2:$F$9,MATCH($B150&amp;"|"&amp;$D150,ShiftKnowledge!$A$2:$A$9,0)),"")))</f>
        <v/>
      </c>
      <c r="J150" s="6">
        <f>IF($D150="Custom","",IFERROR(XLOOKUP($B150&amp;"|"&amp;$D150,ShiftKnowledge!$A$2:$A$9,ShiftKnowledge!$G$2:$G$9,""),IFERROR(INDEX(ShiftKnowledge!$G$2:$G$9,MATCH($B150&amp;"|"&amp;$D150,ShiftKnowledge!$A$2:$A$9,0)),"")))</f>
        <v/>
      </c>
      <c r="K150" s="6">
        <f>IF($D150="Custom","",IFERROR(XLOOKUP($B150&amp;"|"&amp;$D150,ShiftKnowledge!$A$2:$A$9,ShiftKnowledge!$H$2:$H$9,""),IFERROR(INDEX(ShiftKnowledge!$H$2:$H$9,MATCH($B150&amp;"|"&amp;$D150,ShiftKnowledge!$A$2:$A$9,0)),"")))</f>
        <v/>
      </c>
      <c r="L150" s="6">
        <f>IF($D150="Custom","",IFERROR(XLOOKUP($B150&amp;"|"&amp;$D150,ShiftKnowledge!$A$2:$A$9,ShiftKnowledge!$I$2:$I$9,""),IFERROR(INDEX(ShiftKnowledge!$I$2:$I$9,MATCH($B150&amp;"|"&amp;$D150,ShiftKnowledge!$A$2:$A$9,0)),"")))</f>
        <v/>
      </c>
      <c r="M150" s="6" t="inlineStr"/>
    </row>
    <row r="151" ht="20" customHeight="1">
      <c r="A151" s="4" t="inlineStr">
        <is>
          <t>11/11/2025</t>
        </is>
      </c>
      <c r="B151" s="4" t="inlineStr">
        <is>
          <t>Orthopaedics</t>
        </is>
      </c>
      <c r="C151" s="5" t="inlineStr">
        <is>
          <t>Dr. Dinesh Kumar Pandit</t>
        </is>
      </c>
      <c r="D151" s="4" t="inlineStr"/>
      <c r="E151" s="4">
        <f>IF($D151="Custom","",IFERROR(XLOOKUP($B151&amp;"|"&amp;$D151,ShiftKnowledge!$A$2:$A$9,ShiftKnowledge!$D$2:$D$9,""),IFERROR(INDEX(ShiftKnowledge!$D$2:$D$9,MATCH($B151&amp;"|"&amp;$D151,ShiftKnowledge!$A$2:$A$9,0)),"")))</f>
        <v/>
      </c>
      <c r="F151" s="4" t="inlineStr"/>
      <c r="G151" s="4">
        <f>IF(AND($I151="",$L151=""),"",IFERROR(VALUE($I151),0)+IFERROR(VALUE($L151),0))</f>
        <v/>
      </c>
      <c r="H151" s="4">
        <f>IF($D151="Custom","",IFERROR(XLOOKUP($B151&amp;"|"&amp;$D151,ShiftKnowledge!$A$2:$A$9,ShiftKnowledge!$E$2:$E$9,""),IFERROR(INDEX(ShiftKnowledge!$E$2:$E$9,MATCH($B151&amp;"|"&amp;$D151,ShiftKnowledge!$A$2:$A$9,0)),"")))</f>
        <v/>
      </c>
      <c r="I151" s="4">
        <f>IF($D151="Custom","",IFERROR(XLOOKUP($B151&amp;"|"&amp;$D151,ShiftKnowledge!$A$2:$A$9,ShiftKnowledge!$F$2:$F$9,""),IFERROR(INDEX(ShiftKnowledge!$F$2:$F$9,MATCH($B151&amp;"|"&amp;$D151,ShiftKnowledge!$A$2:$A$9,0)),"")))</f>
        <v/>
      </c>
      <c r="J151" s="4">
        <f>IF($D151="Custom","",IFERROR(XLOOKUP($B151&amp;"|"&amp;$D151,ShiftKnowledge!$A$2:$A$9,ShiftKnowledge!$G$2:$G$9,""),IFERROR(INDEX(ShiftKnowledge!$G$2:$G$9,MATCH($B151&amp;"|"&amp;$D151,ShiftKnowledge!$A$2:$A$9,0)),"")))</f>
        <v/>
      </c>
      <c r="K151" s="4">
        <f>IF($D151="Custom","",IFERROR(XLOOKUP($B151&amp;"|"&amp;$D151,ShiftKnowledge!$A$2:$A$9,ShiftKnowledge!$H$2:$H$9,""),IFERROR(INDEX(ShiftKnowledge!$H$2:$H$9,MATCH($B151&amp;"|"&amp;$D151,ShiftKnowledge!$A$2:$A$9,0)),"")))</f>
        <v/>
      </c>
      <c r="L151" s="4">
        <f>IF($D151="Custom","",IFERROR(XLOOKUP($B151&amp;"|"&amp;$D151,ShiftKnowledge!$A$2:$A$9,ShiftKnowledge!$I$2:$I$9,""),IFERROR(INDEX(ShiftKnowledge!$I$2:$I$9,MATCH($B151&amp;"|"&amp;$D151,ShiftKnowledge!$A$2:$A$9,0)),"")))</f>
        <v/>
      </c>
      <c r="M151" s="4" t="inlineStr"/>
    </row>
    <row r="152" ht="20" customHeight="1">
      <c r="A152" s="6" t="inlineStr">
        <is>
          <t>11/11/2025</t>
        </is>
      </c>
      <c r="B152" s="6" t="inlineStr">
        <is>
          <t>Internal Medicine</t>
        </is>
      </c>
      <c r="C152" s="7" t="inlineStr">
        <is>
          <t>Dr. Ei Shwe Yee Myint</t>
        </is>
      </c>
      <c r="D152" s="6" t="inlineStr"/>
      <c r="E152" s="6">
        <f>IF($D152="Custom","",IFERROR(XLOOKUP($B152&amp;"|"&amp;$D152,ShiftKnowledge!$A$2:$A$9,ShiftKnowledge!$D$2:$D$9,""),IFERROR(INDEX(ShiftKnowledge!$D$2:$D$9,MATCH($B152&amp;"|"&amp;$D152,ShiftKnowledge!$A$2:$A$9,0)),"")))</f>
        <v/>
      </c>
      <c r="F152" s="6" t="inlineStr"/>
      <c r="G152" s="6">
        <f>IF(AND($I152="",$L152=""),"",IFERROR(VALUE($I152),0)+IFERROR(VALUE($L152),0))</f>
        <v/>
      </c>
      <c r="H152" s="6">
        <f>IF($D152="Custom","",IFERROR(XLOOKUP($B152&amp;"|"&amp;$D152,ShiftKnowledge!$A$2:$A$9,ShiftKnowledge!$E$2:$E$9,""),IFERROR(INDEX(ShiftKnowledge!$E$2:$E$9,MATCH($B152&amp;"|"&amp;$D152,ShiftKnowledge!$A$2:$A$9,0)),"")))</f>
        <v/>
      </c>
      <c r="I152" s="6">
        <f>IF($D152="Custom","",IFERROR(XLOOKUP($B152&amp;"|"&amp;$D152,ShiftKnowledge!$A$2:$A$9,ShiftKnowledge!$F$2:$F$9,""),IFERROR(INDEX(ShiftKnowledge!$F$2:$F$9,MATCH($B152&amp;"|"&amp;$D152,ShiftKnowledge!$A$2:$A$9,0)),"")))</f>
        <v/>
      </c>
      <c r="J152" s="6">
        <f>IF($D152="Custom","",IFERROR(XLOOKUP($B152&amp;"|"&amp;$D152,ShiftKnowledge!$A$2:$A$9,ShiftKnowledge!$G$2:$G$9,""),IFERROR(INDEX(ShiftKnowledge!$G$2:$G$9,MATCH($B152&amp;"|"&amp;$D152,ShiftKnowledge!$A$2:$A$9,0)),"")))</f>
        <v/>
      </c>
      <c r="K152" s="6">
        <f>IF($D152="Custom","",IFERROR(XLOOKUP($B152&amp;"|"&amp;$D152,ShiftKnowledge!$A$2:$A$9,ShiftKnowledge!$H$2:$H$9,""),IFERROR(INDEX(ShiftKnowledge!$H$2:$H$9,MATCH($B152&amp;"|"&amp;$D152,ShiftKnowledge!$A$2:$A$9,0)),"")))</f>
        <v/>
      </c>
      <c r="L152" s="6">
        <f>IF($D152="Custom","",IFERROR(XLOOKUP($B152&amp;"|"&amp;$D152,ShiftKnowledge!$A$2:$A$9,ShiftKnowledge!$I$2:$I$9,""),IFERROR(INDEX(ShiftKnowledge!$I$2:$I$9,MATCH($B152&amp;"|"&amp;$D152,ShiftKnowledge!$A$2:$A$9,0)),"")))</f>
        <v/>
      </c>
      <c r="M152" s="6" t="inlineStr"/>
    </row>
    <row r="153" ht="20" customHeight="1">
      <c r="A153" s="4" t="inlineStr">
        <is>
          <t>11/11/2025</t>
        </is>
      </c>
      <c r="B153" s="4" t="inlineStr">
        <is>
          <t>Internal Medicine</t>
        </is>
      </c>
      <c r="C153" s="5" t="inlineStr">
        <is>
          <t>Dr. Hatem Hassan Mohamed Abdelhafez</t>
        </is>
      </c>
      <c r="D153" s="4" t="inlineStr"/>
      <c r="E153" s="4">
        <f>IF($D153="Custom","",IFERROR(XLOOKUP($B153&amp;"|"&amp;$D153,ShiftKnowledge!$A$2:$A$9,ShiftKnowledge!$D$2:$D$9,""),IFERROR(INDEX(ShiftKnowledge!$D$2:$D$9,MATCH($B153&amp;"|"&amp;$D153,ShiftKnowledge!$A$2:$A$9,0)),"")))</f>
        <v/>
      </c>
      <c r="F153" s="4" t="inlineStr"/>
      <c r="G153" s="4">
        <f>IF(AND($I153="",$L153=""),"",IFERROR(VALUE($I153),0)+IFERROR(VALUE($L153),0))</f>
        <v/>
      </c>
      <c r="H153" s="4">
        <f>IF($D153="Custom","",IFERROR(XLOOKUP($B153&amp;"|"&amp;$D153,ShiftKnowledge!$A$2:$A$9,ShiftKnowledge!$E$2:$E$9,""),IFERROR(INDEX(ShiftKnowledge!$E$2:$E$9,MATCH($B153&amp;"|"&amp;$D153,ShiftKnowledge!$A$2:$A$9,0)),"")))</f>
        <v/>
      </c>
      <c r="I153" s="4">
        <f>IF($D153="Custom","",IFERROR(XLOOKUP($B153&amp;"|"&amp;$D153,ShiftKnowledge!$A$2:$A$9,ShiftKnowledge!$F$2:$F$9,""),IFERROR(INDEX(ShiftKnowledge!$F$2:$F$9,MATCH($B153&amp;"|"&amp;$D153,ShiftKnowledge!$A$2:$A$9,0)),"")))</f>
        <v/>
      </c>
      <c r="J153" s="4">
        <f>IF($D153="Custom","",IFERROR(XLOOKUP($B153&amp;"|"&amp;$D153,ShiftKnowledge!$A$2:$A$9,ShiftKnowledge!$G$2:$G$9,""),IFERROR(INDEX(ShiftKnowledge!$G$2:$G$9,MATCH($B153&amp;"|"&amp;$D153,ShiftKnowledge!$A$2:$A$9,0)),"")))</f>
        <v/>
      </c>
      <c r="K153" s="4">
        <f>IF($D153="Custom","",IFERROR(XLOOKUP($B153&amp;"|"&amp;$D153,ShiftKnowledge!$A$2:$A$9,ShiftKnowledge!$H$2:$H$9,""),IFERROR(INDEX(ShiftKnowledge!$H$2:$H$9,MATCH($B153&amp;"|"&amp;$D153,ShiftKnowledge!$A$2:$A$9,0)),"")))</f>
        <v/>
      </c>
      <c r="L153" s="4">
        <f>IF($D153="Custom","",IFERROR(XLOOKUP($B153&amp;"|"&amp;$D153,ShiftKnowledge!$A$2:$A$9,ShiftKnowledge!$I$2:$I$9,""),IFERROR(INDEX(ShiftKnowledge!$I$2:$I$9,MATCH($B153&amp;"|"&amp;$D153,ShiftKnowledge!$A$2:$A$9,0)),"")))</f>
        <v/>
      </c>
      <c r="M153" s="4" t="inlineStr"/>
    </row>
    <row r="154" ht="20" customHeight="1">
      <c r="A154" s="6" t="inlineStr">
        <is>
          <t>11/11/2025</t>
        </is>
      </c>
      <c r="B154" s="6" t="inlineStr">
        <is>
          <t>Gynaecology</t>
        </is>
      </c>
      <c r="C154" s="7" t="inlineStr">
        <is>
          <t>Dr. Hawwa Inaya</t>
        </is>
      </c>
      <c r="D154" s="6" t="inlineStr"/>
      <c r="E154" s="6">
        <f>IF($D154="Custom","",IFERROR(XLOOKUP($B154&amp;"|"&amp;$D154,ShiftKnowledge!$A$2:$A$9,ShiftKnowledge!$D$2:$D$9,""),IFERROR(INDEX(ShiftKnowledge!$D$2:$D$9,MATCH($B154&amp;"|"&amp;$D154,ShiftKnowledge!$A$2:$A$9,0)),"")))</f>
        <v/>
      </c>
      <c r="F154" s="6" t="inlineStr"/>
      <c r="G154" s="6">
        <f>IF(AND($I154="",$L154=""),"",IFERROR(VALUE($I154),0)+IFERROR(VALUE($L154),0))</f>
        <v/>
      </c>
      <c r="H154" s="6">
        <f>IF($D154="Custom","",IFERROR(XLOOKUP($B154&amp;"|"&amp;$D154,ShiftKnowledge!$A$2:$A$9,ShiftKnowledge!$E$2:$E$9,""),IFERROR(INDEX(ShiftKnowledge!$E$2:$E$9,MATCH($B154&amp;"|"&amp;$D154,ShiftKnowledge!$A$2:$A$9,0)),"")))</f>
        <v/>
      </c>
      <c r="I154" s="6">
        <f>IF($D154="Custom","",IFERROR(XLOOKUP($B154&amp;"|"&amp;$D154,ShiftKnowledge!$A$2:$A$9,ShiftKnowledge!$F$2:$F$9,""),IFERROR(INDEX(ShiftKnowledge!$F$2:$F$9,MATCH($B154&amp;"|"&amp;$D154,ShiftKnowledge!$A$2:$A$9,0)),"")))</f>
        <v/>
      </c>
      <c r="J154" s="6">
        <f>IF($D154="Custom","",IFERROR(XLOOKUP($B154&amp;"|"&amp;$D154,ShiftKnowledge!$A$2:$A$9,ShiftKnowledge!$G$2:$G$9,""),IFERROR(INDEX(ShiftKnowledge!$G$2:$G$9,MATCH($B154&amp;"|"&amp;$D154,ShiftKnowledge!$A$2:$A$9,0)),"")))</f>
        <v/>
      </c>
      <c r="K154" s="6">
        <f>IF($D154="Custom","",IFERROR(XLOOKUP($B154&amp;"|"&amp;$D154,ShiftKnowledge!$A$2:$A$9,ShiftKnowledge!$H$2:$H$9,""),IFERROR(INDEX(ShiftKnowledge!$H$2:$H$9,MATCH($B154&amp;"|"&amp;$D154,ShiftKnowledge!$A$2:$A$9,0)),"")))</f>
        <v/>
      </c>
      <c r="L154" s="6">
        <f>IF($D154="Custom","",IFERROR(XLOOKUP($B154&amp;"|"&amp;$D154,ShiftKnowledge!$A$2:$A$9,ShiftKnowledge!$I$2:$I$9,""),IFERROR(INDEX(ShiftKnowledge!$I$2:$I$9,MATCH($B154&amp;"|"&amp;$D154,ShiftKnowledge!$A$2:$A$9,0)),"")))</f>
        <v/>
      </c>
      <c r="M154" s="6" t="inlineStr"/>
    </row>
    <row r="155" ht="20" customHeight="1">
      <c r="A155" s="4" t="inlineStr">
        <is>
          <t>11/11/2025</t>
        </is>
      </c>
      <c r="B155" s="4" t="inlineStr">
        <is>
          <t>Gynaecology</t>
        </is>
      </c>
      <c r="C155" s="5" t="inlineStr">
        <is>
          <t>Dr. Joshila Chanu Yumnam Bhattarai</t>
        </is>
      </c>
      <c r="D155" s="4" t="inlineStr"/>
      <c r="E155" s="4">
        <f>IF($D155="Custom","",IFERROR(XLOOKUP($B155&amp;"|"&amp;$D155,ShiftKnowledge!$A$2:$A$9,ShiftKnowledge!$D$2:$D$9,""),IFERROR(INDEX(ShiftKnowledge!$D$2:$D$9,MATCH($B155&amp;"|"&amp;$D155,ShiftKnowledge!$A$2:$A$9,0)),"")))</f>
        <v/>
      </c>
      <c r="F155" s="4" t="inlineStr"/>
      <c r="G155" s="4">
        <f>IF(AND($I155="",$L155=""),"",IFERROR(VALUE($I155),0)+IFERROR(VALUE($L155),0))</f>
        <v/>
      </c>
      <c r="H155" s="4">
        <f>IF($D155="Custom","",IFERROR(XLOOKUP($B155&amp;"|"&amp;$D155,ShiftKnowledge!$A$2:$A$9,ShiftKnowledge!$E$2:$E$9,""),IFERROR(INDEX(ShiftKnowledge!$E$2:$E$9,MATCH($B155&amp;"|"&amp;$D155,ShiftKnowledge!$A$2:$A$9,0)),"")))</f>
        <v/>
      </c>
      <c r="I155" s="4">
        <f>IF($D155="Custom","",IFERROR(XLOOKUP($B155&amp;"|"&amp;$D155,ShiftKnowledge!$A$2:$A$9,ShiftKnowledge!$F$2:$F$9,""),IFERROR(INDEX(ShiftKnowledge!$F$2:$F$9,MATCH($B155&amp;"|"&amp;$D155,ShiftKnowledge!$A$2:$A$9,0)),"")))</f>
        <v/>
      </c>
      <c r="J155" s="4">
        <f>IF($D155="Custom","",IFERROR(XLOOKUP($B155&amp;"|"&amp;$D155,ShiftKnowledge!$A$2:$A$9,ShiftKnowledge!$G$2:$G$9,""),IFERROR(INDEX(ShiftKnowledge!$G$2:$G$9,MATCH($B155&amp;"|"&amp;$D155,ShiftKnowledge!$A$2:$A$9,0)),"")))</f>
        <v/>
      </c>
      <c r="K155" s="4">
        <f>IF($D155="Custom","",IFERROR(XLOOKUP($B155&amp;"|"&amp;$D155,ShiftKnowledge!$A$2:$A$9,ShiftKnowledge!$H$2:$H$9,""),IFERROR(INDEX(ShiftKnowledge!$H$2:$H$9,MATCH($B155&amp;"|"&amp;$D155,ShiftKnowledge!$A$2:$A$9,0)),"")))</f>
        <v/>
      </c>
      <c r="L155" s="4">
        <f>IF($D155="Custom","",IFERROR(XLOOKUP($B155&amp;"|"&amp;$D155,ShiftKnowledge!$A$2:$A$9,ShiftKnowledge!$I$2:$I$9,""),IFERROR(INDEX(ShiftKnowledge!$I$2:$I$9,MATCH($B155&amp;"|"&amp;$D155,ShiftKnowledge!$A$2:$A$9,0)),"")))</f>
        <v/>
      </c>
      <c r="M155" s="4" t="inlineStr"/>
    </row>
    <row r="156" ht="20" customHeight="1">
      <c r="A156" s="6" t="inlineStr">
        <is>
          <t>11/11/2025</t>
        </is>
      </c>
      <c r="B156" s="6" t="inlineStr">
        <is>
          <t>Gynaecology</t>
        </is>
      </c>
      <c r="C156" s="7" t="inlineStr">
        <is>
          <t>Dr. Jumailath Beygum</t>
        </is>
      </c>
      <c r="D156" s="6" t="inlineStr"/>
      <c r="E156" s="6">
        <f>IF($D156="Custom","",IFERROR(XLOOKUP($B156&amp;"|"&amp;$D156,ShiftKnowledge!$A$2:$A$9,ShiftKnowledge!$D$2:$D$9,""),IFERROR(INDEX(ShiftKnowledge!$D$2:$D$9,MATCH($B156&amp;"|"&amp;$D156,ShiftKnowledge!$A$2:$A$9,0)),"")))</f>
        <v/>
      </c>
      <c r="F156" s="6" t="inlineStr"/>
      <c r="G156" s="6">
        <f>IF(AND($I156="",$L156=""),"",IFERROR(VALUE($I156),0)+IFERROR(VALUE($L156),0))</f>
        <v/>
      </c>
      <c r="H156" s="6">
        <f>IF($D156="Custom","",IFERROR(XLOOKUP($B156&amp;"|"&amp;$D156,ShiftKnowledge!$A$2:$A$9,ShiftKnowledge!$E$2:$E$9,""),IFERROR(INDEX(ShiftKnowledge!$E$2:$E$9,MATCH($B156&amp;"|"&amp;$D156,ShiftKnowledge!$A$2:$A$9,0)),"")))</f>
        <v/>
      </c>
      <c r="I156" s="6">
        <f>IF($D156="Custom","",IFERROR(XLOOKUP($B156&amp;"|"&amp;$D156,ShiftKnowledge!$A$2:$A$9,ShiftKnowledge!$F$2:$F$9,""),IFERROR(INDEX(ShiftKnowledge!$F$2:$F$9,MATCH($B156&amp;"|"&amp;$D156,ShiftKnowledge!$A$2:$A$9,0)),"")))</f>
        <v/>
      </c>
      <c r="J156" s="6">
        <f>IF($D156="Custom","",IFERROR(XLOOKUP($B156&amp;"|"&amp;$D156,ShiftKnowledge!$A$2:$A$9,ShiftKnowledge!$G$2:$G$9,""),IFERROR(INDEX(ShiftKnowledge!$G$2:$G$9,MATCH($B156&amp;"|"&amp;$D156,ShiftKnowledge!$A$2:$A$9,0)),"")))</f>
        <v/>
      </c>
      <c r="K156" s="6">
        <f>IF($D156="Custom","",IFERROR(XLOOKUP($B156&amp;"|"&amp;$D156,ShiftKnowledge!$A$2:$A$9,ShiftKnowledge!$H$2:$H$9,""),IFERROR(INDEX(ShiftKnowledge!$H$2:$H$9,MATCH($B156&amp;"|"&amp;$D156,ShiftKnowledge!$A$2:$A$9,0)),"")))</f>
        <v/>
      </c>
      <c r="L156" s="6">
        <f>IF($D156="Custom","",IFERROR(XLOOKUP($B156&amp;"|"&amp;$D156,ShiftKnowledge!$A$2:$A$9,ShiftKnowledge!$I$2:$I$9,""),IFERROR(INDEX(ShiftKnowledge!$I$2:$I$9,MATCH($B156&amp;"|"&amp;$D156,ShiftKnowledge!$A$2:$A$9,0)),"")))</f>
        <v/>
      </c>
      <c r="M156" s="6" t="inlineStr"/>
    </row>
    <row r="157" ht="20" customHeight="1">
      <c r="A157" s="4" t="inlineStr">
        <is>
          <t>11/11/2025</t>
        </is>
      </c>
      <c r="B157" s="4" t="inlineStr">
        <is>
          <t>General Surgery</t>
        </is>
      </c>
      <c r="C157" s="5" t="inlineStr">
        <is>
          <t>Dr. Khine Su Kyi</t>
        </is>
      </c>
      <c r="D157" s="4" t="inlineStr"/>
      <c r="E157" s="4">
        <f>IF($D157="Custom","",IFERROR(XLOOKUP($B157&amp;"|"&amp;$D157,ShiftKnowledge!$A$2:$A$9,ShiftKnowledge!$D$2:$D$9,""),IFERROR(INDEX(ShiftKnowledge!$D$2:$D$9,MATCH($B157&amp;"|"&amp;$D157,ShiftKnowledge!$A$2:$A$9,0)),"")))</f>
        <v/>
      </c>
      <c r="F157" s="4" t="inlineStr"/>
      <c r="G157" s="4">
        <f>IF(AND($I157="",$L157=""),"",IFERROR(VALUE($I157),0)+IFERROR(VALUE($L157),0))</f>
        <v/>
      </c>
      <c r="H157" s="4">
        <f>IF($D157="Custom","",IFERROR(XLOOKUP($B157&amp;"|"&amp;$D157,ShiftKnowledge!$A$2:$A$9,ShiftKnowledge!$E$2:$E$9,""),IFERROR(INDEX(ShiftKnowledge!$E$2:$E$9,MATCH($B157&amp;"|"&amp;$D157,ShiftKnowledge!$A$2:$A$9,0)),"")))</f>
        <v/>
      </c>
      <c r="I157" s="4">
        <f>IF($D157="Custom","",IFERROR(XLOOKUP($B157&amp;"|"&amp;$D157,ShiftKnowledge!$A$2:$A$9,ShiftKnowledge!$F$2:$F$9,""),IFERROR(INDEX(ShiftKnowledge!$F$2:$F$9,MATCH($B157&amp;"|"&amp;$D157,ShiftKnowledge!$A$2:$A$9,0)),"")))</f>
        <v/>
      </c>
      <c r="J157" s="4">
        <f>IF($D157="Custom","",IFERROR(XLOOKUP($B157&amp;"|"&amp;$D157,ShiftKnowledge!$A$2:$A$9,ShiftKnowledge!$G$2:$G$9,""),IFERROR(INDEX(ShiftKnowledge!$G$2:$G$9,MATCH($B157&amp;"|"&amp;$D157,ShiftKnowledge!$A$2:$A$9,0)),"")))</f>
        <v/>
      </c>
      <c r="K157" s="4">
        <f>IF($D157="Custom","",IFERROR(XLOOKUP($B157&amp;"|"&amp;$D157,ShiftKnowledge!$A$2:$A$9,ShiftKnowledge!$H$2:$H$9,""),IFERROR(INDEX(ShiftKnowledge!$H$2:$H$9,MATCH($B157&amp;"|"&amp;$D157,ShiftKnowledge!$A$2:$A$9,0)),"")))</f>
        <v/>
      </c>
      <c r="L157" s="4">
        <f>IF($D157="Custom","",IFERROR(XLOOKUP($B157&amp;"|"&amp;$D157,ShiftKnowledge!$A$2:$A$9,ShiftKnowledge!$I$2:$I$9,""),IFERROR(INDEX(ShiftKnowledge!$I$2:$I$9,MATCH($B157&amp;"|"&amp;$D157,ShiftKnowledge!$A$2:$A$9,0)),"")))</f>
        <v/>
      </c>
      <c r="M157" s="4" t="inlineStr"/>
    </row>
    <row r="158" ht="20" customHeight="1">
      <c r="A158" s="6" t="inlineStr">
        <is>
          <t>11/11/2025</t>
        </is>
      </c>
      <c r="B158" s="6" t="inlineStr">
        <is>
          <t>Dental</t>
        </is>
      </c>
      <c r="C158" s="7" t="inlineStr">
        <is>
          <t>Dr. Mariyam Afza Zuhair</t>
        </is>
      </c>
      <c r="D158" s="6" t="inlineStr"/>
      <c r="E158" s="6">
        <f>IF($D158="Custom","",IFERROR(XLOOKUP($B158&amp;"|"&amp;$D158,ShiftKnowledge!$A$2:$A$9,ShiftKnowledge!$D$2:$D$9,""),IFERROR(INDEX(ShiftKnowledge!$D$2:$D$9,MATCH($B158&amp;"|"&amp;$D158,ShiftKnowledge!$A$2:$A$9,0)),"")))</f>
        <v/>
      </c>
      <c r="F158" s="6" t="inlineStr"/>
      <c r="G158" s="6">
        <f>IF(AND($I158="",$L158=""),"",IFERROR(VALUE($I158),0)+IFERROR(VALUE($L158),0))</f>
        <v/>
      </c>
      <c r="H158" s="6">
        <f>IF($D158="Custom","",IFERROR(XLOOKUP($B158&amp;"|"&amp;$D158,ShiftKnowledge!$A$2:$A$9,ShiftKnowledge!$E$2:$E$9,""),IFERROR(INDEX(ShiftKnowledge!$E$2:$E$9,MATCH($B158&amp;"|"&amp;$D158,ShiftKnowledge!$A$2:$A$9,0)),"")))</f>
        <v/>
      </c>
      <c r="I158" s="6">
        <f>IF($D158="Custom","",IFERROR(XLOOKUP($B158&amp;"|"&amp;$D158,ShiftKnowledge!$A$2:$A$9,ShiftKnowledge!$F$2:$F$9,""),IFERROR(INDEX(ShiftKnowledge!$F$2:$F$9,MATCH($B158&amp;"|"&amp;$D158,ShiftKnowledge!$A$2:$A$9,0)),"")))</f>
        <v/>
      </c>
      <c r="J158" s="6">
        <f>IF($D158="Custom","",IFERROR(XLOOKUP($B158&amp;"|"&amp;$D158,ShiftKnowledge!$A$2:$A$9,ShiftKnowledge!$G$2:$G$9,""),IFERROR(INDEX(ShiftKnowledge!$G$2:$G$9,MATCH($B158&amp;"|"&amp;$D158,ShiftKnowledge!$A$2:$A$9,0)),"")))</f>
        <v/>
      </c>
      <c r="K158" s="6">
        <f>IF($D158="Custom","",IFERROR(XLOOKUP($B158&amp;"|"&amp;$D158,ShiftKnowledge!$A$2:$A$9,ShiftKnowledge!$H$2:$H$9,""),IFERROR(INDEX(ShiftKnowledge!$H$2:$H$9,MATCH($B158&amp;"|"&amp;$D158,ShiftKnowledge!$A$2:$A$9,0)),"")))</f>
        <v/>
      </c>
      <c r="L158" s="6">
        <f>IF($D158="Custom","",IFERROR(XLOOKUP($B158&amp;"|"&amp;$D158,ShiftKnowledge!$A$2:$A$9,ShiftKnowledge!$I$2:$I$9,""),IFERROR(INDEX(ShiftKnowledge!$I$2:$I$9,MATCH($B158&amp;"|"&amp;$D158,ShiftKnowledge!$A$2:$A$9,0)),"")))</f>
        <v/>
      </c>
      <c r="M158" s="6" t="inlineStr"/>
    </row>
    <row r="159" ht="20" customHeight="1">
      <c r="A159" s="4" t="inlineStr">
        <is>
          <t>11/11/2025</t>
        </is>
      </c>
      <c r="B159" s="4" t="inlineStr">
        <is>
          <t>Psychiatry</t>
        </is>
      </c>
      <c r="C159" s="5" t="inlineStr">
        <is>
          <t>Dr. Maumoon Shareef</t>
        </is>
      </c>
      <c r="D159" s="4" t="inlineStr"/>
      <c r="E159" s="4">
        <f>IF($D159="Custom","",IFERROR(XLOOKUP($B159&amp;"|"&amp;$D159,ShiftKnowledge!$A$2:$A$9,ShiftKnowledge!$D$2:$D$9,""),IFERROR(INDEX(ShiftKnowledge!$D$2:$D$9,MATCH($B159&amp;"|"&amp;$D159,ShiftKnowledge!$A$2:$A$9,0)),"")))</f>
        <v/>
      </c>
      <c r="F159" s="4" t="inlineStr"/>
      <c r="G159" s="4">
        <f>IF(AND($I159="",$L159=""),"",IFERROR(VALUE($I159),0)+IFERROR(VALUE($L159),0))</f>
        <v/>
      </c>
      <c r="H159" s="4">
        <f>IF($D159="Custom","",IFERROR(XLOOKUP($B159&amp;"|"&amp;$D159,ShiftKnowledge!$A$2:$A$9,ShiftKnowledge!$E$2:$E$9,""),IFERROR(INDEX(ShiftKnowledge!$E$2:$E$9,MATCH($B159&amp;"|"&amp;$D159,ShiftKnowledge!$A$2:$A$9,0)),"")))</f>
        <v/>
      </c>
      <c r="I159" s="4">
        <f>IF($D159="Custom","",IFERROR(XLOOKUP($B159&amp;"|"&amp;$D159,ShiftKnowledge!$A$2:$A$9,ShiftKnowledge!$F$2:$F$9,""),IFERROR(INDEX(ShiftKnowledge!$F$2:$F$9,MATCH($B159&amp;"|"&amp;$D159,ShiftKnowledge!$A$2:$A$9,0)),"")))</f>
        <v/>
      </c>
      <c r="J159" s="4">
        <f>IF($D159="Custom","",IFERROR(XLOOKUP($B159&amp;"|"&amp;$D159,ShiftKnowledge!$A$2:$A$9,ShiftKnowledge!$G$2:$G$9,""),IFERROR(INDEX(ShiftKnowledge!$G$2:$G$9,MATCH($B159&amp;"|"&amp;$D159,ShiftKnowledge!$A$2:$A$9,0)),"")))</f>
        <v/>
      </c>
      <c r="K159" s="4">
        <f>IF($D159="Custom","",IFERROR(XLOOKUP($B159&amp;"|"&amp;$D159,ShiftKnowledge!$A$2:$A$9,ShiftKnowledge!$H$2:$H$9,""),IFERROR(INDEX(ShiftKnowledge!$H$2:$H$9,MATCH($B159&amp;"|"&amp;$D159,ShiftKnowledge!$A$2:$A$9,0)),"")))</f>
        <v/>
      </c>
      <c r="L159" s="4">
        <f>IF($D159="Custom","",IFERROR(XLOOKUP($B159&amp;"|"&amp;$D159,ShiftKnowledge!$A$2:$A$9,ShiftKnowledge!$I$2:$I$9,""),IFERROR(INDEX(ShiftKnowledge!$I$2:$I$9,MATCH($B159&amp;"|"&amp;$D159,ShiftKnowledge!$A$2:$A$9,0)),"")))</f>
        <v/>
      </c>
      <c r="M159" s="4" t="inlineStr"/>
    </row>
    <row r="160" ht="20" customHeight="1">
      <c r="A160" s="6" t="inlineStr">
        <is>
          <t>11/11/2025</t>
        </is>
      </c>
      <c r="B160" s="6" t="inlineStr">
        <is>
          <t>Internal Medicine</t>
        </is>
      </c>
      <c r="C160" s="7" t="inlineStr">
        <is>
          <t>Dr. Mihuna Ibrahim</t>
        </is>
      </c>
      <c r="D160" s="6" t="inlineStr"/>
      <c r="E160" s="6">
        <f>IF($D160="Custom","",IFERROR(XLOOKUP($B160&amp;"|"&amp;$D160,ShiftKnowledge!$A$2:$A$9,ShiftKnowledge!$D$2:$D$9,""),IFERROR(INDEX(ShiftKnowledge!$D$2:$D$9,MATCH($B160&amp;"|"&amp;$D160,ShiftKnowledge!$A$2:$A$9,0)),"")))</f>
        <v/>
      </c>
      <c r="F160" s="6" t="inlineStr"/>
      <c r="G160" s="6">
        <f>IF(AND($I160="",$L160=""),"",IFERROR(VALUE($I160),0)+IFERROR(VALUE($L160),0))</f>
        <v/>
      </c>
      <c r="H160" s="6">
        <f>IF($D160="Custom","",IFERROR(XLOOKUP($B160&amp;"|"&amp;$D160,ShiftKnowledge!$A$2:$A$9,ShiftKnowledge!$E$2:$E$9,""),IFERROR(INDEX(ShiftKnowledge!$E$2:$E$9,MATCH($B160&amp;"|"&amp;$D160,ShiftKnowledge!$A$2:$A$9,0)),"")))</f>
        <v/>
      </c>
      <c r="I160" s="6">
        <f>IF($D160="Custom","",IFERROR(XLOOKUP($B160&amp;"|"&amp;$D160,ShiftKnowledge!$A$2:$A$9,ShiftKnowledge!$F$2:$F$9,""),IFERROR(INDEX(ShiftKnowledge!$F$2:$F$9,MATCH($B160&amp;"|"&amp;$D160,ShiftKnowledge!$A$2:$A$9,0)),"")))</f>
        <v/>
      </c>
      <c r="J160" s="6">
        <f>IF($D160="Custom","",IFERROR(XLOOKUP($B160&amp;"|"&amp;$D160,ShiftKnowledge!$A$2:$A$9,ShiftKnowledge!$G$2:$G$9,""),IFERROR(INDEX(ShiftKnowledge!$G$2:$G$9,MATCH($B160&amp;"|"&amp;$D160,ShiftKnowledge!$A$2:$A$9,0)),"")))</f>
        <v/>
      </c>
      <c r="K160" s="6">
        <f>IF($D160="Custom","",IFERROR(XLOOKUP($B160&amp;"|"&amp;$D160,ShiftKnowledge!$A$2:$A$9,ShiftKnowledge!$H$2:$H$9,""),IFERROR(INDEX(ShiftKnowledge!$H$2:$H$9,MATCH($B160&amp;"|"&amp;$D160,ShiftKnowledge!$A$2:$A$9,0)),"")))</f>
        <v/>
      </c>
      <c r="L160" s="6">
        <f>IF($D160="Custom","",IFERROR(XLOOKUP($B160&amp;"|"&amp;$D160,ShiftKnowledge!$A$2:$A$9,ShiftKnowledge!$I$2:$I$9,""),IFERROR(INDEX(ShiftKnowledge!$I$2:$I$9,MATCH($B160&amp;"|"&amp;$D160,ShiftKnowledge!$A$2:$A$9,0)),"")))</f>
        <v/>
      </c>
      <c r="M160" s="6" t="inlineStr"/>
    </row>
    <row r="161" ht="20" customHeight="1">
      <c r="A161" s="4" t="inlineStr">
        <is>
          <t>11/11/2025</t>
        </is>
      </c>
      <c r="B161" s="4" t="inlineStr">
        <is>
          <t>Endocrinology</t>
        </is>
      </c>
      <c r="C161" s="5" t="inlineStr">
        <is>
          <t>Dr. Mohamed Wisham</t>
        </is>
      </c>
      <c r="D161" s="4" t="inlineStr"/>
      <c r="E161" s="4">
        <f>IF($D161="Custom","",IFERROR(XLOOKUP($B161&amp;"|"&amp;$D161,ShiftKnowledge!$A$2:$A$9,ShiftKnowledge!$D$2:$D$9,""),IFERROR(INDEX(ShiftKnowledge!$D$2:$D$9,MATCH($B161&amp;"|"&amp;$D161,ShiftKnowledge!$A$2:$A$9,0)),"")))</f>
        <v/>
      </c>
      <c r="F161" s="4" t="inlineStr"/>
      <c r="G161" s="4">
        <f>IF(AND($I161="",$L161=""),"",IFERROR(VALUE($I161),0)+IFERROR(VALUE($L161),0))</f>
        <v/>
      </c>
      <c r="H161" s="4">
        <f>IF($D161="Custom","",IFERROR(XLOOKUP($B161&amp;"|"&amp;$D161,ShiftKnowledge!$A$2:$A$9,ShiftKnowledge!$E$2:$E$9,""),IFERROR(INDEX(ShiftKnowledge!$E$2:$E$9,MATCH($B161&amp;"|"&amp;$D161,ShiftKnowledge!$A$2:$A$9,0)),"")))</f>
        <v/>
      </c>
      <c r="I161" s="4">
        <f>IF($D161="Custom","",IFERROR(XLOOKUP($B161&amp;"|"&amp;$D161,ShiftKnowledge!$A$2:$A$9,ShiftKnowledge!$F$2:$F$9,""),IFERROR(INDEX(ShiftKnowledge!$F$2:$F$9,MATCH($B161&amp;"|"&amp;$D161,ShiftKnowledge!$A$2:$A$9,0)),"")))</f>
        <v/>
      </c>
      <c r="J161" s="4">
        <f>IF($D161="Custom","",IFERROR(XLOOKUP($B161&amp;"|"&amp;$D161,ShiftKnowledge!$A$2:$A$9,ShiftKnowledge!$G$2:$G$9,""),IFERROR(INDEX(ShiftKnowledge!$G$2:$G$9,MATCH($B161&amp;"|"&amp;$D161,ShiftKnowledge!$A$2:$A$9,0)),"")))</f>
        <v/>
      </c>
      <c r="K161" s="4">
        <f>IF($D161="Custom","",IFERROR(XLOOKUP($B161&amp;"|"&amp;$D161,ShiftKnowledge!$A$2:$A$9,ShiftKnowledge!$H$2:$H$9,""),IFERROR(INDEX(ShiftKnowledge!$H$2:$H$9,MATCH($B161&amp;"|"&amp;$D161,ShiftKnowledge!$A$2:$A$9,0)),"")))</f>
        <v/>
      </c>
      <c r="L161" s="4">
        <f>IF($D161="Custom","",IFERROR(XLOOKUP($B161&amp;"|"&amp;$D161,ShiftKnowledge!$A$2:$A$9,ShiftKnowledge!$I$2:$I$9,""),IFERROR(INDEX(ShiftKnowledge!$I$2:$I$9,MATCH($B161&amp;"|"&amp;$D161,ShiftKnowledge!$A$2:$A$9,0)),"")))</f>
        <v/>
      </c>
      <c r="M161" s="4" t="inlineStr"/>
    </row>
    <row r="162" ht="20" customHeight="1">
      <c r="A162" s="6" t="inlineStr">
        <is>
          <t>11/11/2025</t>
        </is>
      </c>
      <c r="B162" s="6" t="inlineStr">
        <is>
          <t>Cardiology</t>
        </is>
      </c>
      <c r="C162" s="7" t="inlineStr">
        <is>
          <t>Dr. Moosa Manik</t>
        </is>
      </c>
      <c r="D162" s="6" t="inlineStr"/>
      <c r="E162" s="6">
        <f>IF($D162="Custom","",IFERROR(XLOOKUP($B162&amp;"|"&amp;$D162,ShiftKnowledge!$A$2:$A$9,ShiftKnowledge!$D$2:$D$9,""),IFERROR(INDEX(ShiftKnowledge!$D$2:$D$9,MATCH($B162&amp;"|"&amp;$D162,ShiftKnowledge!$A$2:$A$9,0)),"")))</f>
        <v/>
      </c>
      <c r="F162" s="6" t="inlineStr"/>
      <c r="G162" s="6">
        <f>IF(AND($I162="",$L162=""),"",IFERROR(VALUE($I162),0)+IFERROR(VALUE($L162),0))</f>
        <v/>
      </c>
      <c r="H162" s="6">
        <f>IF($D162="Custom","",IFERROR(XLOOKUP($B162&amp;"|"&amp;$D162,ShiftKnowledge!$A$2:$A$9,ShiftKnowledge!$E$2:$E$9,""),IFERROR(INDEX(ShiftKnowledge!$E$2:$E$9,MATCH($B162&amp;"|"&amp;$D162,ShiftKnowledge!$A$2:$A$9,0)),"")))</f>
        <v/>
      </c>
      <c r="I162" s="6">
        <f>IF($D162="Custom","",IFERROR(XLOOKUP($B162&amp;"|"&amp;$D162,ShiftKnowledge!$A$2:$A$9,ShiftKnowledge!$F$2:$F$9,""),IFERROR(INDEX(ShiftKnowledge!$F$2:$F$9,MATCH($B162&amp;"|"&amp;$D162,ShiftKnowledge!$A$2:$A$9,0)),"")))</f>
        <v/>
      </c>
      <c r="J162" s="6">
        <f>IF($D162="Custom","",IFERROR(XLOOKUP($B162&amp;"|"&amp;$D162,ShiftKnowledge!$A$2:$A$9,ShiftKnowledge!$G$2:$G$9,""),IFERROR(INDEX(ShiftKnowledge!$G$2:$G$9,MATCH($B162&amp;"|"&amp;$D162,ShiftKnowledge!$A$2:$A$9,0)),"")))</f>
        <v/>
      </c>
      <c r="K162" s="6">
        <f>IF($D162="Custom","",IFERROR(XLOOKUP($B162&amp;"|"&amp;$D162,ShiftKnowledge!$A$2:$A$9,ShiftKnowledge!$H$2:$H$9,""),IFERROR(INDEX(ShiftKnowledge!$H$2:$H$9,MATCH($B162&amp;"|"&amp;$D162,ShiftKnowledge!$A$2:$A$9,0)),"")))</f>
        <v/>
      </c>
      <c r="L162" s="6">
        <f>IF($D162="Custom","",IFERROR(XLOOKUP($B162&amp;"|"&amp;$D162,ShiftKnowledge!$A$2:$A$9,ShiftKnowledge!$I$2:$I$9,""),IFERROR(INDEX(ShiftKnowledge!$I$2:$I$9,MATCH($B162&amp;"|"&amp;$D162,ShiftKnowledge!$A$2:$A$9,0)),"")))</f>
        <v/>
      </c>
      <c r="M162" s="6" t="inlineStr"/>
    </row>
    <row r="163" ht="20" customHeight="1">
      <c r="A163" s="4" t="inlineStr">
        <is>
          <t>11/11/2025</t>
        </is>
      </c>
      <c r="B163" s="4" t="inlineStr">
        <is>
          <t>Nephrology</t>
        </is>
      </c>
      <c r="C163" s="5" t="inlineStr">
        <is>
          <t>Dr. Muhammad Mujtaba Ur Rehman</t>
        </is>
      </c>
      <c r="D163" s="4" t="inlineStr"/>
      <c r="E163" s="4">
        <f>IF($D163="Custom","",IFERROR(XLOOKUP($B163&amp;"|"&amp;$D163,ShiftKnowledge!$A$2:$A$9,ShiftKnowledge!$D$2:$D$9,""),IFERROR(INDEX(ShiftKnowledge!$D$2:$D$9,MATCH($B163&amp;"|"&amp;$D163,ShiftKnowledge!$A$2:$A$9,0)),"")))</f>
        <v/>
      </c>
      <c r="F163" s="4" t="inlineStr"/>
      <c r="G163" s="4">
        <f>IF(AND($I163="",$L163=""),"",IFERROR(VALUE($I163),0)+IFERROR(VALUE($L163),0))</f>
        <v/>
      </c>
      <c r="H163" s="4">
        <f>IF($D163="Custom","",IFERROR(XLOOKUP($B163&amp;"|"&amp;$D163,ShiftKnowledge!$A$2:$A$9,ShiftKnowledge!$E$2:$E$9,""),IFERROR(INDEX(ShiftKnowledge!$E$2:$E$9,MATCH($B163&amp;"|"&amp;$D163,ShiftKnowledge!$A$2:$A$9,0)),"")))</f>
        <v/>
      </c>
      <c r="I163" s="4">
        <f>IF($D163="Custom","",IFERROR(XLOOKUP($B163&amp;"|"&amp;$D163,ShiftKnowledge!$A$2:$A$9,ShiftKnowledge!$F$2:$F$9,""),IFERROR(INDEX(ShiftKnowledge!$F$2:$F$9,MATCH($B163&amp;"|"&amp;$D163,ShiftKnowledge!$A$2:$A$9,0)),"")))</f>
        <v/>
      </c>
      <c r="J163" s="4">
        <f>IF($D163="Custom","",IFERROR(XLOOKUP($B163&amp;"|"&amp;$D163,ShiftKnowledge!$A$2:$A$9,ShiftKnowledge!$G$2:$G$9,""),IFERROR(INDEX(ShiftKnowledge!$G$2:$G$9,MATCH($B163&amp;"|"&amp;$D163,ShiftKnowledge!$A$2:$A$9,0)),"")))</f>
        <v/>
      </c>
      <c r="K163" s="4">
        <f>IF($D163="Custom","",IFERROR(XLOOKUP($B163&amp;"|"&amp;$D163,ShiftKnowledge!$A$2:$A$9,ShiftKnowledge!$H$2:$H$9,""),IFERROR(INDEX(ShiftKnowledge!$H$2:$H$9,MATCH($B163&amp;"|"&amp;$D163,ShiftKnowledge!$A$2:$A$9,0)),"")))</f>
        <v/>
      </c>
      <c r="L163" s="4">
        <f>IF($D163="Custom","",IFERROR(XLOOKUP($B163&amp;"|"&amp;$D163,ShiftKnowledge!$A$2:$A$9,ShiftKnowledge!$I$2:$I$9,""),IFERROR(INDEX(ShiftKnowledge!$I$2:$I$9,MATCH($B163&amp;"|"&amp;$D163,ShiftKnowledge!$A$2:$A$9,0)),"")))</f>
        <v/>
      </c>
      <c r="M163" s="4" t="inlineStr"/>
    </row>
    <row r="164" ht="20" customHeight="1">
      <c r="A164" s="6" t="inlineStr">
        <is>
          <t>11/11/2025</t>
        </is>
      </c>
      <c r="B164" s="6" t="inlineStr">
        <is>
          <t>Ophthalmology</t>
        </is>
      </c>
      <c r="C164" s="7" t="inlineStr">
        <is>
          <t>Dr. Nafeesa Abdul Latheef</t>
        </is>
      </c>
      <c r="D164" s="6" t="inlineStr"/>
      <c r="E164" s="6">
        <f>IF($D164="Custom","",IFERROR(XLOOKUP($B164&amp;"|"&amp;$D164,ShiftKnowledge!$A$2:$A$9,ShiftKnowledge!$D$2:$D$9,""),IFERROR(INDEX(ShiftKnowledge!$D$2:$D$9,MATCH($B164&amp;"|"&amp;$D164,ShiftKnowledge!$A$2:$A$9,0)),"")))</f>
        <v/>
      </c>
      <c r="F164" s="6" t="inlineStr"/>
      <c r="G164" s="6">
        <f>IF(AND($I164="",$L164=""),"",IFERROR(VALUE($I164),0)+IFERROR(VALUE($L164),0))</f>
        <v/>
      </c>
      <c r="H164" s="6">
        <f>IF($D164="Custom","",IFERROR(XLOOKUP($B164&amp;"|"&amp;$D164,ShiftKnowledge!$A$2:$A$9,ShiftKnowledge!$E$2:$E$9,""),IFERROR(INDEX(ShiftKnowledge!$E$2:$E$9,MATCH($B164&amp;"|"&amp;$D164,ShiftKnowledge!$A$2:$A$9,0)),"")))</f>
        <v/>
      </c>
      <c r="I164" s="6">
        <f>IF($D164="Custom","",IFERROR(XLOOKUP($B164&amp;"|"&amp;$D164,ShiftKnowledge!$A$2:$A$9,ShiftKnowledge!$F$2:$F$9,""),IFERROR(INDEX(ShiftKnowledge!$F$2:$F$9,MATCH($B164&amp;"|"&amp;$D164,ShiftKnowledge!$A$2:$A$9,0)),"")))</f>
        <v/>
      </c>
      <c r="J164" s="6">
        <f>IF($D164="Custom","",IFERROR(XLOOKUP($B164&amp;"|"&amp;$D164,ShiftKnowledge!$A$2:$A$9,ShiftKnowledge!$G$2:$G$9,""),IFERROR(INDEX(ShiftKnowledge!$G$2:$G$9,MATCH($B164&amp;"|"&amp;$D164,ShiftKnowledge!$A$2:$A$9,0)),"")))</f>
        <v/>
      </c>
      <c r="K164" s="6">
        <f>IF($D164="Custom","",IFERROR(XLOOKUP($B164&amp;"|"&amp;$D164,ShiftKnowledge!$A$2:$A$9,ShiftKnowledge!$H$2:$H$9,""),IFERROR(INDEX(ShiftKnowledge!$H$2:$H$9,MATCH($B164&amp;"|"&amp;$D164,ShiftKnowledge!$A$2:$A$9,0)),"")))</f>
        <v/>
      </c>
      <c r="L164" s="6">
        <f>IF($D164="Custom","",IFERROR(XLOOKUP($B164&amp;"|"&amp;$D164,ShiftKnowledge!$A$2:$A$9,ShiftKnowledge!$I$2:$I$9,""),IFERROR(INDEX(ShiftKnowledge!$I$2:$I$9,MATCH($B164&amp;"|"&amp;$D164,ShiftKnowledge!$A$2:$A$9,0)),"")))</f>
        <v/>
      </c>
      <c r="M164" s="6" t="inlineStr"/>
    </row>
    <row r="165" ht="20" customHeight="1">
      <c r="A165" s="4" t="inlineStr">
        <is>
          <t>11/11/2025</t>
        </is>
      </c>
      <c r="B165" s="4" t="inlineStr">
        <is>
          <t>ENT</t>
        </is>
      </c>
      <c r="C165" s="5" t="inlineStr">
        <is>
          <t>Dr. Nishesh Raj Shrestha</t>
        </is>
      </c>
      <c r="D165" s="4" t="inlineStr"/>
      <c r="E165" s="4">
        <f>IF($D165="Custom","",IFERROR(XLOOKUP($B165&amp;"|"&amp;$D165,ShiftKnowledge!$A$2:$A$9,ShiftKnowledge!$D$2:$D$9,""),IFERROR(INDEX(ShiftKnowledge!$D$2:$D$9,MATCH($B165&amp;"|"&amp;$D165,ShiftKnowledge!$A$2:$A$9,0)),"")))</f>
        <v/>
      </c>
      <c r="F165" s="4" t="inlineStr"/>
      <c r="G165" s="4">
        <f>IF(AND($I165="",$L165=""),"",IFERROR(VALUE($I165),0)+IFERROR(VALUE($L165),0))</f>
        <v/>
      </c>
      <c r="H165" s="4">
        <f>IF($D165="Custom","",IFERROR(XLOOKUP($B165&amp;"|"&amp;$D165,ShiftKnowledge!$A$2:$A$9,ShiftKnowledge!$E$2:$E$9,""),IFERROR(INDEX(ShiftKnowledge!$E$2:$E$9,MATCH($B165&amp;"|"&amp;$D165,ShiftKnowledge!$A$2:$A$9,0)),"")))</f>
        <v/>
      </c>
      <c r="I165" s="4">
        <f>IF($D165="Custom","",IFERROR(XLOOKUP($B165&amp;"|"&amp;$D165,ShiftKnowledge!$A$2:$A$9,ShiftKnowledge!$F$2:$F$9,""),IFERROR(INDEX(ShiftKnowledge!$F$2:$F$9,MATCH($B165&amp;"|"&amp;$D165,ShiftKnowledge!$A$2:$A$9,0)),"")))</f>
        <v/>
      </c>
      <c r="J165" s="4">
        <f>IF($D165="Custom","",IFERROR(XLOOKUP($B165&amp;"|"&amp;$D165,ShiftKnowledge!$A$2:$A$9,ShiftKnowledge!$G$2:$G$9,""),IFERROR(INDEX(ShiftKnowledge!$G$2:$G$9,MATCH($B165&amp;"|"&amp;$D165,ShiftKnowledge!$A$2:$A$9,0)),"")))</f>
        <v/>
      </c>
      <c r="K165" s="4">
        <f>IF($D165="Custom","",IFERROR(XLOOKUP($B165&amp;"|"&amp;$D165,ShiftKnowledge!$A$2:$A$9,ShiftKnowledge!$H$2:$H$9,""),IFERROR(INDEX(ShiftKnowledge!$H$2:$H$9,MATCH($B165&amp;"|"&amp;$D165,ShiftKnowledge!$A$2:$A$9,0)),"")))</f>
        <v/>
      </c>
      <c r="L165" s="4">
        <f>IF($D165="Custom","",IFERROR(XLOOKUP($B165&amp;"|"&amp;$D165,ShiftKnowledge!$A$2:$A$9,ShiftKnowledge!$I$2:$I$9,""),IFERROR(INDEX(ShiftKnowledge!$I$2:$I$9,MATCH($B165&amp;"|"&amp;$D165,ShiftKnowledge!$A$2:$A$9,0)),"")))</f>
        <v/>
      </c>
      <c r="M165" s="4" t="inlineStr"/>
    </row>
    <row r="166" ht="20" customHeight="1">
      <c r="A166" s="6" t="inlineStr">
        <is>
          <t>11/11/2025</t>
        </is>
      </c>
      <c r="B166" s="6" t="inlineStr">
        <is>
          <t>ENT</t>
        </is>
      </c>
      <c r="C166" s="7" t="inlineStr">
        <is>
          <t>Dr. Rachit Pokharel</t>
        </is>
      </c>
      <c r="D166" s="6" t="inlineStr"/>
      <c r="E166" s="6">
        <f>IF($D166="Custom","",IFERROR(XLOOKUP($B166&amp;"|"&amp;$D166,ShiftKnowledge!$A$2:$A$9,ShiftKnowledge!$D$2:$D$9,""),IFERROR(INDEX(ShiftKnowledge!$D$2:$D$9,MATCH($B166&amp;"|"&amp;$D166,ShiftKnowledge!$A$2:$A$9,0)),"")))</f>
        <v/>
      </c>
      <c r="F166" s="6" t="inlineStr"/>
      <c r="G166" s="6">
        <f>IF(AND($I166="",$L166=""),"",IFERROR(VALUE($I166),0)+IFERROR(VALUE($L166),0))</f>
        <v/>
      </c>
      <c r="H166" s="6">
        <f>IF($D166="Custom","",IFERROR(XLOOKUP($B166&amp;"|"&amp;$D166,ShiftKnowledge!$A$2:$A$9,ShiftKnowledge!$E$2:$E$9,""),IFERROR(INDEX(ShiftKnowledge!$E$2:$E$9,MATCH($B166&amp;"|"&amp;$D166,ShiftKnowledge!$A$2:$A$9,0)),"")))</f>
        <v/>
      </c>
      <c r="I166" s="6">
        <f>IF($D166="Custom","",IFERROR(XLOOKUP($B166&amp;"|"&amp;$D166,ShiftKnowledge!$A$2:$A$9,ShiftKnowledge!$F$2:$F$9,""),IFERROR(INDEX(ShiftKnowledge!$F$2:$F$9,MATCH($B166&amp;"|"&amp;$D166,ShiftKnowledge!$A$2:$A$9,0)),"")))</f>
        <v/>
      </c>
      <c r="J166" s="6">
        <f>IF($D166="Custom","",IFERROR(XLOOKUP($B166&amp;"|"&amp;$D166,ShiftKnowledge!$A$2:$A$9,ShiftKnowledge!$G$2:$G$9,""),IFERROR(INDEX(ShiftKnowledge!$G$2:$G$9,MATCH($B166&amp;"|"&amp;$D166,ShiftKnowledge!$A$2:$A$9,0)),"")))</f>
        <v/>
      </c>
      <c r="K166" s="6">
        <f>IF($D166="Custom","",IFERROR(XLOOKUP($B166&amp;"|"&amp;$D166,ShiftKnowledge!$A$2:$A$9,ShiftKnowledge!$H$2:$H$9,""),IFERROR(INDEX(ShiftKnowledge!$H$2:$H$9,MATCH($B166&amp;"|"&amp;$D166,ShiftKnowledge!$A$2:$A$9,0)),"")))</f>
        <v/>
      </c>
      <c r="L166" s="6">
        <f>IF($D166="Custom","",IFERROR(XLOOKUP($B166&amp;"|"&amp;$D166,ShiftKnowledge!$A$2:$A$9,ShiftKnowledge!$I$2:$I$9,""),IFERROR(INDEX(ShiftKnowledge!$I$2:$I$9,MATCH($B166&amp;"|"&amp;$D166,ShiftKnowledge!$A$2:$A$9,0)),"")))</f>
        <v/>
      </c>
      <c r="M166" s="6" t="inlineStr"/>
    </row>
    <row r="167" ht="20" customHeight="1">
      <c r="A167" s="4" t="inlineStr">
        <is>
          <t>11/11/2025</t>
        </is>
      </c>
      <c r="B167" s="4" t="inlineStr">
        <is>
          <t>Ophthalmology</t>
        </is>
      </c>
      <c r="C167" s="5" t="inlineStr">
        <is>
          <t>Dr. Remon Girgis Lamee Girgis</t>
        </is>
      </c>
      <c r="D167" s="4" t="inlineStr"/>
      <c r="E167" s="4">
        <f>IF($D167="Custom","",IFERROR(XLOOKUP($B167&amp;"|"&amp;$D167,ShiftKnowledge!$A$2:$A$9,ShiftKnowledge!$D$2:$D$9,""),IFERROR(INDEX(ShiftKnowledge!$D$2:$D$9,MATCH($B167&amp;"|"&amp;$D167,ShiftKnowledge!$A$2:$A$9,0)),"")))</f>
        <v/>
      </c>
      <c r="F167" s="4" t="inlineStr"/>
      <c r="G167" s="4">
        <f>IF(AND($I167="",$L167=""),"",IFERROR(VALUE($I167),0)+IFERROR(VALUE($L167),0))</f>
        <v/>
      </c>
      <c r="H167" s="4">
        <f>IF($D167="Custom","",IFERROR(XLOOKUP($B167&amp;"|"&amp;$D167,ShiftKnowledge!$A$2:$A$9,ShiftKnowledge!$E$2:$E$9,""),IFERROR(INDEX(ShiftKnowledge!$E$2:$E$9,MATCH($B167&amp;"|"&amp;$D167,ShiftKnowledge!$A$2:$A$9,0)),"")))</f>
        <v/>
      </c>
      <c r="I167" s="4">
        <f>IF($D167="Custom","",IFERROR(XLOOKUP($B167&amp;"|"&amp;$D167,ShiftKnowledge!$A$2:$A$9,ShiftKnowledge!$F$2:$F$9,""),IFERROR(INDEX(ShiftKnowledge!$F$2:$F$9,MATCH($B167&amp;"|"&amp;$D167,ShiftKnowledge!$A$2:$A$9,0)),"")))</f>
        <v/>
      </c>
      <c r="J167" s="4">
        <f>IF($D167="Custom","",IFERROR(XLOOKUP($B167&amp;"|"&amp;$D167,ShiftKnowledge!$A$2:$A$9,ShiftKnowledge!$G$2:$G$9,""),IFERROR(INDEX(ShiftKnowledge!$G$2:$G$9,MATCH($B167&amp;"|"&amp;$D167,ShiftKnowledge!$A$2:$A$9,0)),"")))</f>
        <v/>
      </c>
      <c r="K167" s="4">
        <f>IF($D167="Custom","",IFERROR(XLOOKUP($B167&amp;"|"&amp;$D167,ShiftKnowledge!$A$2:$A$9,ShiftKnowledge!$H$2:$H$9,""),IFERROR(INDEX(ShiftKnowledge!$H$2:$H$9,MATCH($B167&amp;"|"&amp;$D167,ShiftKnowledge!$A$2:$A$9,0)),"")))</f>
        <v/>
      </c>
      <c r="L167" s="4">
        <f>IF($D167="Custom","",IFERROR(XLOOKUP($B167&amp;"|"&amp;$D167,ShiftKnowledge!$A$2:$A$9,ShiftKnowledge!$I$2:$I$9,""),IFERROR(INDEX(ShiftKnowledge!$I$2:$I$9,MATCH($B167&amp;"|"&amp;$D167,ShiftKnowledge!$A$2:$A$9,0)),"")))</f>
        <v/>
      </c>
      <c r="M167" s="4" t="inlineStr"/>
    </row>
    <row r="168" ht="20" customHeight="1">
      <c r="A168" s="6" t="inlineStr">
        <is>
          <t>11/11/2025</t>
        </is>
      </c>
      <c r="B168" s="6" t="inlineStr">
        <is>
          <t>Paediatrics</t>
        </is>
      </c>
      <c r="C168" s="7" t="inlineStr">
        <is>
          <t>Dr. Roshan Kumar Dikshit</t>
        </is>
      </c>
      <c r="D168" s="6" t="inlineStr"/>
      <c r="E168" s="6">
        <f>IF($D168="Custom","",IFERROR(XLOOKUP($B168&amp;"|"&amp;$D168,ShiftKnowledge!$A$2:$A$9,ShiftKnowledge!$D$2:$D$9,""),IFERROR(INDEX(ShiftKnowledge!$D$2:$D$9,MATCH($B168&amp;"|"&amp;$D168,ShiftKnowledge!$A$2:$A$9,0)),"")))</f>
        <v/>
      </c>
      <c r="F168" s="6" t="inlineStr"/>
      <c r="G168" s="6">
        <f>IF(AND($I168="",$L168=""),"",IFERROR(VALUE($I168),0)+IFERROR(VALUE($L168),0))</f>
        <v/>
      </c>
      <c r="H168" s="6">
        <f>IF($D168="Custom","",IFERROR(XLOOKUP($B168&amp;"|"&amp;$D168,ShiftKnowledge!$A$2:$A$9,ShiftKnowledge!$E$2:$E$9,""),IFERROR(INDEX(ShiftKnowledge!$E$2:$E$9,MATCH($B168&amp;"|"&amp;$D168,ShiftKnowledge!$A$2:$A$9,0)),"")))</f>
        <v/>
      </c>
      <c r="I168" s="6">
        <f>IF($D168="Custom","",IFERROR(XLOOKUP($B168&amp;"|"&amp;$D168,ShiftKnowledge!$A$2:$A$9,ShiftKnowledge!$F$2:$F$9,""),IFERROR(INDEX(ShiftKnowledge!$F$2:$F$9,MATCH($B168&amp;"|"&amp;$D168,ShiftKnowledge!$A$2:$A$9,0)),"")))</f>
        <v/>
      </c>
      <c r="J168" s="6">
        <f>IF($D168="Custom","",IFERROR(XLOOKUP($B168&amp;"|"&amp;$D168,ShiftKnowledge!$A$2:$A$9,ShiftKnowledge!$G$2:$G$9,""),IFERROR(INDEX(ShiftKnowledge!$G$2:$G$9,MATCH($B168&amp;"|"&amp;$D168,ShiftKnowledge!$A$2:$A$9,0)),"")))</f>
        <v/>
      </c>
      <c r="K168" s="6">
        <f>IF($D168="Custom","",IFERROR(XLOOKUP($B168&amp;"|"&amp;$D168,ShiftKnowledge!$A$2:$A$9,ShiftKnowledge!$H$2:$H$9,""),IFERROR(INDEX(ShiftKnowledge!$H$2:$H$9,MATCH($B168&amp;"|"&amp;$D168,ShiftKnowledge!$A$2:$A$9,0)),"")))</f>
        <v/>
      </c>
      <c r="L168" s="6">
        <f>IF($D168="Custom","",IFERROR(XLOOKUP($B168&amp;"|"&amp;$D168,ShiftKnowledge!$A$2:$A$9,ShiftKnowledge!$I$2:$I$9,""),IFERROR(INDEX(ShiftKnowledge!$I$2:$I$9,MATCH($B168&amp;"|"&amp;$D168,ShiftKnowledge!$A$2:$A$9,0)),"")))</f>
        <v/>
      </c>
      <c r="M168" s="6" t="inlineStr"/>
    </row>
    <row r="169" ht="20" customHeight="1">
      <c r="A169" s="4" t="inlineStr">
        <is>
          <t>11/11/2025</t>
        </is>
      </c>
      <c r="B169" s="4" t="inlineStr">
        <is>
          <t>Ophthalmology</t>
        </is>
      </c>
      <c r="C169" s="5" t="inlineStr">
        <is>
          <t>Dr. Roxy Devi Chirom</t>
        </is>
      </c>
      <c r="D169" s="4" t="inlineStr"/>
      <c r="E169" s="4">
        <f>IF($D169="Custom","",IFERROR(XLOOKUP($B169&amp;"|"&amp;$D169,ShiftKnowledge!$A$2:$A$9,ShiftKnowledge!$D$2:$D$9,""),IFERROR(INDEX(ShiftKnowledge!$D$2:$D$9,MATCH($B169&amp;"|"&amp;$D169,ShiftKnowledge!$A$2:$A$9,0)),"")))</f>
        <v/>
      </c>
      <c r="F169" s="4" t="inlineStr"/>
      <c r="G169" s="4">
        <f>IF(AND($I169="",$L169=""),"",IFERROR(VALUE($I169),0)+IFERROR(VALUE($L169),0))</f>
        <v/>
      </c>
      <c r="H169" s="4">
        <f>IF($D169="Custom","",IFERROR(XLOOKUP($B169&amp;"|"&amp;$D169,ShiftKnowledge!$A$2:$A$9,ShiftKnowledge!$E$2:$E$9,""),IFERROR(INDEX(ShiftKnowledge!$E$2:$E$9,MATCH($B169&amp;"|"&amp;$D169,ShiftKnowledge!$A$2:$A$9,0)),"")))</f>
        <v/>
      </c>
      <c r="I169" s="4">
        <f>IF($D169="Custom","",IFERROR(XLOOKUP($B169&amp;"|"&amp;$D169,ShiftKnowledge!$A$2:$A$9,ShiftKnowledge!$F$2:$F$9,""),IFERROR(INDEX(ShiftKnowledge!$F$2:$F$9,MATCH($B169&amp;"|"&amp;$D169,ShiftKnowledge!$A$2:$A$9,0)),"")))</f>
        <v/>
      </c>
      <c r="J169" s="4">
        <f>IF($D169="Custom","",IFERROR(XLOOKUP($B169&amp;"|"&amp;$D169,ShiftKnowledge!$A$2:$A$9,ShiftKnowledge!$G$2:$G$9,""),IFERROR(INDEX(ShiftKnowledge!$G$2:$G$9,MATCH($B169&amp;"|"&amp;$D169,ShiftKnowledge!$A$2:$A$9,0)),"")))</f>
        <v/>
      </c>
      <c r="K169" s="4">
        <f>IF($D169="Custom","",IFERROR(XLOOKUP($B169&amp;"|"&amp;$D169,ShiftKnowledge!$A$2:$A$9,ShiftKnowledge!$H$2:$H$9,""),IFERROR(INDEX(ShiftKnowledge!$H$2:$H$9,MATCH($B169&amp;"|"&amp;$D169,ShiftKnowledge!$A$2:$A$9,0)),"")))</f>
        <v/>
      </c>
      <c r="L169" s="4">
        <f>IF($D169="Custom","",IFERROR(XLOOKUP($B169&amp;"|"&amp;$D169,ShiftKnowledge!$A$2:$A$9,ShiftKnowledge!$I$2:$I$9,""),IFERROR(INDEX(ShiftKnowledge!$I$2:$I$9,MATCH($B169&amp;"|"&amp;$D169,ShiftKnowledge!$A$2:$A$9,0)),"")))</f>
        <v/>
      </c>
      <c r="M169" s="4" t="inlineStr"/>
    </row>
    <row r="170" ht="20" customHeight="1">
      <c r="A170" s="6" t="inlineStr">
        <is>
          <t>11/11/2025</t>
        </is>
      </c>
      <c r="B170" s="6" t="inlineStr">
        <is>
          <t>General Surgery</t>
        </is>
      </c>
      <c r="C170" s="7" t="inlineStr">
        <is>
          <t>Dr. Rubab Nafees</t>
        </is>
      </c>
      <c r="D170" s="6" t="inlineStr"/>
      <c r="E170" s="6">
        <f>IF($D170="Custom","",IFERROR(XLOOKUP($B170&amp;"|"&amp;$D170,ShiftKnowledge!$A$2:$A$9,ShiftKnowledge!$D$2:$D$9,""),IFERROR(INDEX(ShiftKnowledge!$D$2:$D$9,MATCH($B170&amp;"|"&amp;$D170,ShiftKnowledge!$A$2:$A$9,0)),"")))</f>
        <v/>
      </c>
      <c r="F170" s="6" t="inlineStr"/>
      <c r="G170" s="6">
        <f>IF(AND($I170="",$L170=""),"",IFERROR(VALUE($I170),0)+IFERROR(VALUE($L170),0))</f>
        <v/>
      </c>
      <c r="H170" s="6">
        <f>IF($D170="Custom","",IFERROR(XLOOKUP($B170&amp;"|"&amp;$D170,ShiftKnowledge!$A$2:$A$9,ShiftKnowledge!$E$2:$E$9,""),IFERROR(INDEX(ShiftKnowledge!$E$2:$E$9,MATCH($B170&amp;"|"&amp;$D170,ShiftKnowledge!$A$2:$A$9,0)),"")))</f>
        <v/>
      </c>
      <c r="I170" s="6">
        <f>IF($D170="Custom","",IFERROR(XLOOKUP($B170&amp;"|"&amp;$D170,ShiftKnowledge!$A$2:$A$9,ShiftKnowledge!$F$2:$F$9,""),IFERROR(INDEX(ShiftKnowledge!$F$2:$F$9,MATCH($B170&amp;"|"&amp;$D170,ShiftKnowledge!$A$2:$A$9,0)),"")))</f>
        <v/>
      </c>
      <c r="J170" s="6">
        <f>IF($D170="Custom","",IFERROR(XLOOKUP($B170&amp;"|"&amp;$D170,ShiftKnowledge!$A$2:$A$9,ShiftKnowledge!$G$2:$G$9,""),IFERROR(INDEX(ShiftKnowledge!$G$2:$G$9,MATCH($B170&amp;"|"&amp;$D170,ShiftKnowledge!$A$2:$A$9,0)),"")))</f>
        <v/>
      </c>
      <c r="K170" s="6">
        <f>IF($D170="Custom","",IFERROR(XLOOKUP($B170&amp;"|"&amp;$D170,ShiftKnowledge!$A$2:$A$9,ShiftKnowledge!$H$2:$H$9,""),IFERROR(INDEX(ShiftKnowledge!$H$2:$H$9,MATCH($B170&amp;"|"&amp;$D170,ShiftKnowledge!$A$2:$A$9,0)),"")))</f>
        <v/>
      </c>
      <c r="L170" s="6">
        <f>IF($D170="Custom","",IFERROR(XLOOKUP($B170&amp;"|"&amp;$D170,ShiftKnowledge!$A$2:$A$9,ShiftKnowledge!$I$2:$I$9,""),IFERROR(INDEX(ShiftKnowledge!$I$2:$I$9,MATCH($B170&amp;"|"&amp;$D170,ShiftKnowledge!$A$2:$A$9,0)),"")))</f>
        <v/>
      </c>
      <c r="M170" s="6" t="inlineStr"/>
    </row>
    <row r="171" ht="20" customHeight="1">
      <c r="A171" s="4" t="inlineStr">
        <is>
          <t>11/11/2025</t>
        </is>
      </c>
      <c r="B171" s="4" t="inlineStr">
        <is>
          <t>Gynaecology</t>
        </is>
      </c>
      <c r="C171" s="5" t="inlineStr">
        <is>
          <t>Dr. Rubeena Badar Khan</t>
        </is>
      </c>
      <c r="D171" s="4" t="inlineStr"/>
      <c r="E171" s="4">
        <f>IF($D171="Custom","",IFERROR(XLOOKUP($B171&amp;"|"&amp;$D171,ShiftKnowledge!$A$2:$A$9,ShiftKnowledge!$D$2:$D$9,""),IFERROR(INDEX(ShiftKnowledge!$D$2:$D$9,MATCH($B171&amp;"|"&amp;$D171,ShiftKnowledge!$A$2:$A$9,0)),"")))</f>
        <v/>
      </c>
      <c r="F171" s="4" t="inlineStr"/>
      <c r="G171" s="4">
        <f>IF(AND($I171="",$L171=""),"",IFERROR(VALUE($I171),0)+IFERROR(VALUE($L171),0))</f>
        <v/>
      </c>
      <c r="H171" s="4">
        <f>IF($D171="Custom","",IFERROR(XLOOKUP($B171&amp;"|"&amp;$D171,ShiftKnowledge!$A$2:$A$9,ShiftKnowledge!$E$2:$E$9,""),IFERROR(INDEX(ShiftKnowledge!$E$2:$E$9,MATCH($B171&amp;"|"&amp;$D171,ShiftKnowledge!$A$2:$A$9,0)),"")))</f>
        <v/>
      </c>
      <c r="I171" s="4">
        <f>IF($D171="Custom","",IFERROR(XLOOKUP($B171&amp;"|"&amp;$D171,ShiftKnowledge!$A$2:$A$9,ShiftKnowledge!$F$2:$F$9,""),IFERROR(INDEX(ShiftKnowledge!$F$2:$F$9,MATCH($B171&amp;"|"&amp;$D171,ShiftKnowledge!$A$2:$A$9,0)),"")))</f>
        <v/>
      </c>
      <c r="J171" s="4">
        <f>IF($D171="Custom","",IFERROR(XLOOKUP($B171&amp;"|"&amp;$D171,ShiftKnowledge!$A$2:$A$9,ShiftKnowledge!$G$2:$G$9,""),IFERROR(INDEX(ShiftKnowledge!$G$2:$G$9,MATCH($B171&amp;"|"&amp;$D171,ShiftKnowledge!$A$2:$A$9,0)),"")))</f>
        <v/>
      </c>
      <c r="K171" s="4">
        <f>IF($D171="Custom","",IFERROR(XLOOKUP($B171&amp;"|"&amp;$D171,ShiftKnowledge!$A$2:$A$9,ShiftKnowledge!$H$2:$H$9,""),IFERROR(INDEX(ShiftKnowledge!$H$2:$H$9,MATCH($B171&amp;"|"&amp;$D171,ShiftKnowledge!$A$2:$A$9,0)),"")))</f>
        <v/>
      </c>
      <c r="L171" s="4">
        <f>IF($D171="Custom","",IFERROR(XLOOKUP($B171&amp;"|"&amp;$D171,ShiftKnowledge!$A$2:$A$9,ShiftKnowledge!$I$2:$I$9,""),IFERROR(INDEX(ShiftKnowledge!$I$2:$I$9,MATCH($B171&amp;"|"&amp;$D171,ShiftKnowledge!$A$2:$A$9,0)),"")))</f>
        <v/>
      </c>
      <c r="M171" s="4" t="inlineStr"/>
    </row>
    <row r="172" ht="20" customHeight="1">
      <c r="A172" s="6" t="inlineStr">
        <is>
          <t>11/11/2025</t>
        </is>
      </c>
      <c r="B172" s="6" t="inlineStr">
        <is>
          <t>Dental</t>
        </is>
      </c>
      <c r="C172" s="7" t="inlineStr">
        <is>
          <t>Dr. Safa Abdul Gayyoom</t>
        </is>
      </c>
      <c r="D172" s="6" t="inlineStr"/>
      <c r="E172" s="6">
        <f>IF($D172="Custom","",IFERROR(XLOOKUP($B172&amp;"|"&amp;$D172,ShiftKnowledge!$A$2:$A$9,ShiftKnowledge!$D$2:$D$9,""),IFERROR(INDEX(ShiftKnowledge!$D$2:$D$9,MATCH($B172&amp;"|"&amp;$D172,ShiftKnowledge!$A$2:$A$9,0)),"")))</f>
        <v/>
      </c>
      <c r="F172" s="6" t="inlineStr"/>
      <c r="G172" s="6">
        <f>IF(AND($I172="",$L172=""),"",IFERROR(VALUE($I172),0)+IFERROR(VALUE($L172),0))</f>
        <v/>
      </c>
      <c r="H172" s="6">
        <f>IF($D172="Custom","",IFERROR(XLOOKUP($B172&amp;"|"&amp;$D172,ShiftKnowledge!$A$2:$A$9,ShiftKnowledge!$E$2:$E$9,""),IFERROR(INDEX(ShiftKnowledge!$E$2:$E$9,MATCH($B172&amp;"|"&amp;$D172,ShiftKnowledge!$A$2:$A$9,0)),"")))</f>
        <v/>
      </c>
      <c r="I172" s="6">
        <f>IF($D172="Custom","",IFERROR(XLOOKUP($B172&amp;"|"&amp;$D172,ShiftKnowledge!$A$2:$A$9,ShiftKnowledge!$F$2:$F$9,""),IFERROR(INDEX(ShiftKnowledge!$F$2:$F$9,MATCH($B172&amp;"|"&amp;$D172,ShiftKnowledge!$A$2:$A$9,0)),"")))</f>
        <v/>
      </c>
      <c r="J172" s="6">
        <f>IF($D172="Custom","",IFERROR(XLOOKUP($B172&amp;"|"&amp;$D172,ShiftKnowledge!$A$2:$A$9,ShiftKnowledge!$G$2:$G$9,""),IFERROR(INDEX(ShiftKnowledge!$G$2:$G$9,MATCH($B172&amp;"|"&amp;$D172,ShiftKnowledge!$A$2:$A$9,0)),"")))</f>
        <v/>
      </c>
      <c r="K172" s="6">
        <f>IF($D172="Custom","",IFERROR(XLOOKUP($B172&amp;"|"&amp;$D172,ShiftKnowledge!$A$2:$A$9,ShiftKnowledge!$H$2:$H$9,""),IFERROR(INDEX(ShiftKnowledge!$H$2:$H$9,MATCH($B172&amp;"|"&amp;$D172,ShiftKnowledge!$A$2:$A$9,0)),"")))</f>
        <v/>
      </c>
      <c r="L172" s="6">
        <f>IF($D172="Custom","",IFERROR(XLOOKUP($B172&amp;"|"&amp;$D172,ShiftKnowledge!$A$2:$A$9,ShiftKnowledge!$I$2:$I$9,""),IFERROR(INDEX(ShiftKnowledge!$I$2:$I$9,MATCH($B172&amp;"|"&amp;$D172,ShiftKnowledge!$A$2:$A$9,0)),"")))</f>
        <v/>
      </c>
      <c r="M172" s="6" t="inlineStr"/>
    </row>
    <row r="173" ht="20" customHeight="1">
      <c r="A173" s="4" t="inlineStr">
        <is>
          <t>11/11/2025</t>
        </is>
      </c>
      <c r="B173" s="4" t="inlineStr">
        <is>
          <t>Internal Medicine</t>
        </is>
      </c>
      <c r="C173" s="5" t="inlineStr">
        <is>
          <t>Dr. Saroj Thapa</t>
        </is>
      </c>
      <c r="D173" s="4" t="inlineStr"/>
      <c r="E173" s="4">
        <f>IF($D173="Custom","",IFERROR(XLOOKUP($B173&amp;"|"&amp;$D173,ShiftKnowledge!$A$2:$A$9,ShiftKnowledge!$D$2:$D$9,""),IFERROR(INDEX(ShiftKnowledge!$D$2:$D$9,MATCH($B173&amp;"|"&amp;$D173,ShiftKnowledge!$A$2:$A$9,0)),"")))</f>
        <v/>
      </c>
      <c r="F173" s="4" t="inlineStr"/>
      <c r="G173" s="4">
        <f>IF(AND($I173="",$L173=""),"",IFERROR(VALUE($I173),0)+IFERROR(VALUE($L173),0))</f>
        <v/>
      </c>
      <c r="H173" s="4">
        <f>IF($D173="Custom","",IFERROR(XLOOKUP($B173&amp;"|"&amp;$D173,ShiftKnowledge!$A$2:$A$9,ShiftKnowledge!$E$2:$E$9,""),IFERROR(INDEX(ShiftKnowledge!$E$2:$E$9,MATCH($B173&amp;"|"&amp;$D173,ShiftKnowledge!$A$2:$A$9,0)),"")))</f>
        <v/>
      </c>
      <c r="I173" s="4">
        <f>IF($D173="Custom","",IFERROR(XLOOKUP($B173&amp;"|"&amp;$D173,ShiftKnowledge!$A$2:$A$9,ShiftKnowledge!$F$2:$F$9,""),IFERROR(INDEX(ShiftKnowledge!$F$2:$F$9,MATCH($B173&amp;"|"&amp;$D173,ShiftKnowledge!$A$2:$A$9,0)),"")))</f>
        <v/>
      </c>
      <c r="J173" s="4">
        <f>IF($D173="Custom","",IFERROR(XLOOKUP($B173&amp;"|"&amp;$D173,ShiftKnowledge!$A$2:$A$9,ShiftKnowledge!$G$2:$G$9,""),IFERROR(INDEX(ShiftKnowledge!$G$2:$G$9,MATCH($B173&amp;"|"&amp;$D173,ShiftKnowledge!$A$2:$A$9,0)),"")))</f>
        <v/>
      </c>
      <c r="K173" s="4">
        <f>IF($D173="Custom","",IFERROR(XLOOKUP($B173&amp;"|"&amp;$D173,ShiftKnowledge!$A$2:$A$9,ShiftKnowledge!$H$2:$H$9,""),IFERROR(INDEX(ShiftKnowledge!$H$2:$H$9,MATCH($B173&amp;"|"&amp;$D173,ShiftKnowledge!$A$2:$A$9,0)),"")))</f>
        <v/>
      </c>
      <c r="L173" s="4">
        <f>IF($D173="Custom","",IFERROR(XLOOKUP($B173&amp;"|"&amp;$D173,ShiftKnowledge!$A$2:$A$9,ShiftKnowledge!$I$2:$I$9,""),IFERROR(INDEX(ShiftKnowledge!$I$2:$I$9,MATCH($B173&amp;"|"&amp;$D173,ShiftKnowledge!$A$2:$A$9,0)),"")))</f>
        <v/>
      </c>
      <c r="M173" s="4" t="inlineStr"/>
    </row>
    <row r="174" ht="20" customHeight="1">
      <c r="A174" s="6" t="inlineStr">
        <is>
          <t>11/11/2025</t>
        </is>
      </c>
      <c r="B174" s="6" t="inlineStr">
        <is>
          <t>General Surgery</t>
        </is>
      </c>
      <c r="C174" s="7" t="inlineStr">
        <is>
          <t>Dr. Su Mon Kyaw</t>
        </is>
      </c>
      <c r="D174" s="6" t="inlineStr"/>
      <c r="E174" s="6">
        <f>IF($D174="Custom","",IFERROR(XLOOKUP($B174&amp;"|"&amp;$D174,ShiftKnowledge!$A$2:$A$9,ShiftKnowledge!$D$2:$D$9,""),IFERROR(INDEX(ShiftKnowledge!$D$2:$D$9,MATCH($B174&amp;"|"&amp;$D174,ShiftKnowledge!$A$2:$A$9,0)),"")))</f>
        <v/>
      </c>
      <c r="F174" s="6" t="inlineStr"/>
      <c r="G174" s="6">
        <f>IF(AND($I174="",$L174=""),"",IFERROR(VALUE($I174),0)+IFERROR(VALUE($L174),0))</f>
        <v/>
      </c>
      <c r="H174" s="6">
        <f>IF($D174="Custom","",IFERROR(XLOOKUP($B174&amp;"|"&amp;$D174,ShiftKnowledge!$A$2:$A$9,ShiftKnowledge!$E$2:$E$9,""),IFERROR(INDEX(ShiftKnowledge!$E$2:$E$9,MATCH($B174&amp;"|"&amp;$D174,ShiftKnowledge!$A$2:$A$9,0)),"")))</f>
        <v/>
      </c>
      <c r="I174" s="6">
        <f>IF($D174="Custom","",IFERROR(XLOOKUP($B174&amp;"|"&amp;$D174,ShiftKnowledge!$A$2:$A$9,ShiftKnowledge!$F$2:$F$9,""),IFERROR(INDEX(ShiftKnowledge!$F$2:$F$9,MATCH($B174&amp;"|"&amp;$D174,ShiftKnowledge!$A$2:$A$9,0)),"")))</f>
        <v/>
      </c>
      <c r="J174" s="6">
        <f>IF($D174="Custom","",IFERROR(XLOOKUP($B174&amp;"|"&amp;$D174,ShiftKnowledge!$A$2:$A$9,ShiftKnowledge!$G$2:$G$9,""),IFERROR(INDEX(ShiftKnowledge!$G$2:$G$9,MATCH($B174&amp;"|"&amp;$D174,ShiftKnowledge!$A$2:$A$9,0)),"")))</f>
        <v/>
      </c>
      <c r="K174" s="6">
        <f>IF($D174="Custom","",IFERROR(XLOOKUP($B174&amp;"|"&amp;$D174,ShiftKnowledge!$A$2:$A$9,ShiftKnowledge!$H$2:$H$9,""),IFERROR(INDEX(ShiftKnowledge!$H$2:$H$9,MATCH($B174&amp;"|"&amp;$D174,ShiftKnowledge!$A$2:$A$9,0)),"")))</f>
        <v/>
      </c>
      <c r="L174" s="6">
        <f>IF($D174="Custom","",IFERROR(XLOOKUP($B174&amp;"|"&amp;$D174,ShiftKnowledge!$A$2:$A$9,ShiftKnowledge!$I$2:$I$9,""),IFERROR(INDEX(ShiftKnowledge!$I$2:$I$9,MATCH($B174&amp;"|"&amp;$D174,ShiftKnowledge!$A$2:$A$9,0)),"")))</f>
        <v/>
      </c>
      <c r="M174" s="6" t="inlineStr"/>
    </row>
    <row r="175" ht="20" customHeight="1">
      <c r="A175" s="4" t="inlineStr">
        <is>
          <t>11/11/2025</t>
        </is>
      </c>
      <c r="B175" s="4" t="inlineStr">
        <is>
          <t>Internal Medicine</t>
        </is>
      </c>
      <c r="C175" s="5" t="inlineStr">
        <is>
          <t>Dr. Sumretee</t>
        </is>
      </c>
      <c r="D175" s="4" t="inlineStr"/>
      <c r="E175" s="4">
        <f>IF($D175="Custom","",IFERROR(XLOOKUP($B175&amp;"|"&amp;$D175,ShiftKnowledge!$A$2:$A$9,ShiftKnowledge!$D$2:$D$9,""),IFERROR(INDEX(ShiftKnowledge!$D$2:$D$9,MATCH($B175&amp;"|"&amp;$D175,ShiftKnowledge!$A$2:$A$9,0)),"")))</f>
        <v/>
      </c>
      <c r="F175" s="4" t="inlineStr"/>
      <c r="G175" s="4">
        <f>IF(AND($I175="",$L175=""),"",IFERROR(VALUE($I175),0)+IFERROR(VALUE($L175),0))</f>
        <v/>
      </c>
      <c r="H175" s="4">
        <f>IF($D175="Custom","",IFERROR(XLOOKUP($B175&amp;"|"&amp;$D175,ShiftKnowledge!$A$2:$A$9,ShiftKnowledge!$E$2:$E$9,""),IFERROR(INDEX(ShiftKnowledge!$E$2:$E$9,MATCH($B175&amp;"|"&amp;$D175,ShiftKnowledge!$A$2:$A$9,0)),"")))</f>
        <v/>
      </c>
      <c r="I175" s="4">
        <f>IF($D175="Custom","",IFERROR(XLOOKUP($B175&amp;"|"&amp;$D175,ShiftKnowledge!$A$2:$A$9,ShiftKnowledge!$F$2:$F$9,""),IFERROR(INDEX(ShiftKnowledge!$F$2:$F$9,MATCH($B175&amp;"|"&amp;$D175,ShiftKnowledge!$A$2:$A$9,0)),"")))</f>
        <v/>
      </c>
      <c r="J175" s="4">
        <f>IF($D175="Custom","",IFERROR(XLOOKUP($B175&amp;"|"&amp;$D175,ShiftKnowledge!$A$2:$A$9,ShiftKnowledge!$G$2:$G$9,""),IFERROR(INDEX(ShiftKnowledge!$G$2:$G$9,MATCH($B175&amp;"|"&amp;$D175,ShiftKnowledge!$A$2:$A$9,0)),"")))</f>
        <v/>
      </c>
      <c r="K175" s="4">
        <f>IF($D175="Custom","",IFERROR(XLOOKUP($B175&amp;"|"&amp;$D175,ShiftKnowledge!$A$2:$A$9,ShiftKnowledge!$H$2:$H$9,""),IFERROR(INDEX(ShiftKnowledge!$H$2:$H$9,MATCH($B175&amp;"|"&amp;$D175,ShiftKnowledge!$A$2:$A$9,0)),"")))</f>
        <v/>
      </c>
      <c r="L175" s="4">
        <f>IF($D175="Custom","",IFERROR(XLOOKUP($B175&amp;"|"&amp;$D175,ShiftKnowledge!$A$2:$A$9,ShiftKnowledge!$I$2:$I$9,""),IFERROR(INDEX(ShiftKnowledge!$I$2:$I$9,MATCH($B175&amp;"|"&amp;$D175,ShiftKnowledge!$A$2:$A$9,0)),"")))</f>
        <v/>
      </c>
      <c r="M175" s="4" t="inlineStr"/>
    </row>
    <row r="176" ht="20" customHeight="1">
      <c r="A176" s="6" t="inlineStr">
        <is>
          <t>11/11/2025</t>
        </is>
      </c>
      <c r="B176" s="6" t="inlineStr">
        <is>
          <t>Orthopaedics</t>
        </is>
      </c>
      <c r="C176" s="7" t="inlineStr">
        <is>
          <t>Dr. Vinod Ramlal</t>
        </is>
      </c>
      <c r="D176" s="6" t="inlineStr"/>
      <c r="E176" s="6">
        <f>IF($D176="Custom","",IFERROR(XLOOKUP($B176&amp;"|"&amp;$D176,ShiftKnowledge!$A$2:$A$9,ShiftKnowledge!$D$2:$D$9,""),IFERROR(INDEX(ShiftKnowledge!$D$2:$D$9,MATCH($B176&amp;"|"&amp;$D176,ShiftKnowledge!$A$2:$A$9,0)),"")))</f>
        <v/>
      </c>
      <c r="F176" s="6" t="inlineStr"/>
      <c r="G176" s="6">
        <f>IF(AND($I176="",$L176=""),"",IFERROR(VALUE($I176),0)+IFERROR(VALUE($L176),0))</f>
        <v/>
      </c>
      <c r="H176" s="6">
        <f>IF($D176="Custom","",IFERROR(XLOOKUP($B176&amp;"|"&amp;$D176,ShiftKnowledge!$A$2:$A$9,ShiftKnowledge!$E$2:$E$9,""),IFERROR(INDEX(ShiftKnowledge!$E$2:$E$9,MATCH($B176&amp;"|"&amp;$D176,ShiftKnowledge!$A$2:$A$9,0)),"")))</f>
        <v/>
      </c>
      <c r="I176" s="6">
        <f>IF($D176="Custom","",IFERROR(XLOOKUP($B176&amp;"|"&amp;$D176,ShiftKnowledge!$A$2:$A$9,ShiftKnowledge!$F$2:$F$9,""),IFERROR(INDEX(ShiftKnowledge!$F$2:$F$9,MATCH($B176&amp;"|"&amp;$D176,ShiftKnowledge!$A$2:$A$9,0)),"")))</f>
        <v/>
      </c>
      <c r="J176" s="6">
        <f>IF($D176="Custom","",IFERROR(XLOOKUP($B176&amp;"|"&amp;$D176,ShiftKnowledge!$A$2:$A$9,ShiftKnowledge!$G$2:$G$9,""),IFERROR(INDEX(ShiftKnowledge!$G$2:$G$9,MATCH($B176&amp;"|"&amp;$D176,ShiftKnowledge!$A$2:$A$9,0)),"")))</f>
        <v/>
      </c>
      <c r="K176" s="6">
        <f>IF($D176="Custom","",IFERROR(XLOOKUP($B176&amp;"|"&amp;$D176,ShiftKnowledge!$A$2:$A$9,ShiftKnowledge!$H$2:$H$9,""),IFERROR(INDEX(ShiftKnowledge!$H$2:$H$9,MATCH($B176&amp;"|"&amp;$D176,ShiftKnowledge!$A$2:$A$9,0)),"")))</f>
        <v/>
      </c>
      <c r="L176" s="6">
        <f>IF($D176="Custom","",IFERROR(XLOOKUP($B176&amp;"|"&amp;$D176,ShiftKnowledge!$A$2:$A$9,ShiftKnowledge!$I$2:$I$9,""),IFERROR(INDEX(ShiftKnowledge!$I$2:$I$9,MATCH($B176&amp;"|"&amp;$D176,ShiftKnowledge!$A$2:$A$9,0)),"")))</f>
        <v/>
      </c>
      <c r="M176" s="6" t="inlineStr"/>
    </row>
    <row r="177" ht="20" customHeight="1">
      <c r="A177" s="4" t="inlineStr">
        <is>
          <t>11/11/2025</t>
        </is>
      </c>
      <c r="B177" s="4" t="inlineStr">
        <is>
          <t>Paediatrics</t>
        </is>
      </c>
      <c r="C177" s="5" t="inlineStr">
        <is>
          <t>Dr. Yi Nwe Soe</t>
        </is>
      </c>
      <c r="D177" s="4" t="inlineStr"/>
      <c r="E177" s="4">
        <f>IF($D177="Custom","",IFERROR(XLOOKUP($B177&amp;"|"&amp;$D177,ShiftKnowledge!$A$2:$A$9,ShiftKnowledge!$D$2:$D$9,""),IFERROR(INDEX(ShiftKnowledge!$D$2:$D$9,MATCH($B177&amp;"|"&amp;$D177,ShiftKnowledge!$A$2:$A$9,0)),"")))</f>
        <v/>
      </c>
      <c r="F177" s="4" t="inlineStr"/>
      <c r="G177" s="4">
        <f>IF(AND($I177="",$L177=""),"",IFERROR(VALUE($I177),0)+IFERROR(VALUE($L177),0))</f>
        <v/>
      </c>
      <c r="H177" s="4">
        <f>IF($D177="Custom","",IFERROR(XLOOKUP($B177&amp;"|"&amp;$D177,ShiftKnowledge!$A$2:$A$9,ShiftKnowledge!$E$2:$E$9,""),IFERROR(INDEX(ShiftKnowledge!$E$2:$E$9,MATCH($B177&amp;"|"&amp;$D177,ShiftKnowledge!$A$2:$A$9,0)),"")))</f>
        <v/>
      </c>
      <c r="I177" s="4">
        <f>IF($D177="Custom","",IFERROR(XLOOKUP($B177&amp;"|"&amp;$D177,ShiftKnowledge!$A$2:$A$9,ShiftKnowledge!$F$2:$F$9,""),IFERROR(INDEX(ShiftKnowledge!$F$2:$F$9,MATCH($B177&amp;"|"&amp;$D177,ShiftKnowledge!$A$2:$A$9,0)),"")))</f>
        <v/>
      </c>
      <c r="J177" s="4">
        <f>IF($D177="Custom","",IFERROR(XLOOKUP($B177&amp;"|"&amp;$D177,ShiftKnowledge!$A$2:$A$9,ShiftKnowledge!$G$2:$G$9,""),IFERROR(INDEX(ShiftKnowledge!$G$2:$G$9,MATCH($B177&amp;"|"&amp;$D177,ShiftKnowledge!$A$2:$A$9,0)),"")))</f>
        <v/>
      </c>
      <c r="K177" s="4">
        <f>IF($D177="Custom","",IFERROR(XLOOKUP($B177&amp;"|"&amp;$D177,ShiftKnowledge!$A$2:$A$9,ShiftKnowledge!$H$2:$H$9,""),IFERROR(INDEX(ShiftKnowledge!$H$2:$H$9,MATCH($B177&amp;"|"&amp;$D177,ShiftKnowledge!$A$2:$A$9,0)),"")))</f>
        <v/>
      </c>
      <c r="L177" s="4">
        <f>IF($D177="Custom","",IFERROR(XLOOKUP($B177&amp;"|"&amp;$D177,ShiftKnowledge!$A$2:$A$9,ShiftKnowledge!$I$2:$I$9,""),IFERROR(INDEX(ShiftKnowledge!$I$2:$I$9,MATCH($B177&amp;"|"&amp;$D177,ShiftKnowledge!$A$2:$A$9,0)),"")))</f>
        <v/>
      </c>
      <c r="M177" s="4" t="inlineStr"/>
    </row>
    <row r="178" ht="20" customHeight="1">
      <c r="A178" s="6" t="inlineStr">
        <is>
          <t>11/11/2025</t>
        </is>
      </c>
      <c r="B178" s="6" t="inlineStr">
        <is>
          <t>Gynaecology</t>
        </is>
      </c>
      <c r="C178" s="7" t="inlineStr">
        <is>
          <t>Dr. Zarina Kabilova</t>
        </is>
      </c>
      <c r="D178" s="6" t="inlineStr"/>
      <c r="E178" s="6">
        <f>IF($D178="Custom","",IFERROR(XLOOKUP($B178&amp;"|"&amp;$D178,ShiftKnowledge!$A$2:$A$9,ShiftKnowledge!$D$2:$D$9,""),IFERROR(INDEX(ShiftKnowledge!$D$2:$D$9,MATCH($B178&amp;"|"&amp;$D178,ShiftKnowledge!$A$2:$A$9,0)),"")))</f>
        <v/>
      </c>
      <c r="F178" s="6" t="inlineStr"/>
      <c r="G178" s="6">
        <f>IF(AND($I178="",$L178=""),"",IFERROR(VALUE($I178),0)+IFERROR(VALUE($L178),0))</f>
        <v/>
      </c>
      <c r="H178" s="6">
        <f>IF($D178="Custom","",IFERROR(XLOOKUP($B178&amp;"|"&amp;$D178,ShiftKnowledge!$A$2:$A$9,ShiftKnowledge!$E$2:$E$9,""),IFERROR(INDEX(ShiftKnowledge!$E$2:$E$9,MATCH($B178&amp;"|"&amp;$D178,ShiftKnowledge!$A$2:$A$9,0)),"")))</f>
        <v/>
      </c>
      <c r="I178" s="6">
        <f>IF($D178="Custom","",IFERROR(XLOOKUP($B178&amp;"|"&amp;$D178,ShiftKnowledge!$A$2:$A$9,ShiftKnowledge!$F$2:$F$9,""),IFERROR(INDEX(ShiftKnowledge!$F$2:$F$9,MATCH($B178&amp;"|"&amp;$D178,ShiftKnowledge!$A$2:$A$9,0)),"")))</f>
        <v/>
      </c>
      <c r="J178" s="6">
        <f>IF($D178="Custom","",IFERROR(XLOOKUP($B178&amp;"|"&amp;$D178,ShiftKnowledge!$A$2:$A$9,ShiftKnowledge!$G$2:$G$9,""),IFERROR(INDEX(ShiftKnowledge!$G$2:$G$9,MATCH($B178&amp;"|"&amp;$D178,ShiftKnowledge!$A$2:$A$9,0)),"")))</f>
        <v/>
      </c>
      <c r="K178" s="6">
        <f>IF($D178="Custom","",IFERROR(XLOOKUP($B178&amp;"|"&amp;$D178,ShiftKnowledge!$A$2:$A$9,ShiftKnowledge!$H$2:$H$9,""),IFERROR(INDEX(ShiftKnowledge!$H$2:$H$9,MATCH($B178&amp;"|"&amp;$D178,ShiftKnowledge!$A$2:$A$9,0)),"")))</f>
        <v/>
      </c>
      <c r="L178" s="6">
        <f>IF($D178="Custom","",IFERROR(XLOOKUP($B178&amp;"|"&amp;$D178,ShiftKnowledge!$A$2:$A$9,ShiftKnowledge!$I$2:$I$9,""),IFERROR(INDEX(ShiftKnowledge!$I$2:$I$9,MATCH($B178&amp;"|"&amp;$D178,ShiftKnowledge!$A$2:$A$9,0)),"")))</f>
        <v/>
      </c>
      <c r="M178" s="6" t="inlineStr"/>
    </row>
    <row r="179" ht="20" customHeight="1">
      <c r="A179" s="4" t="inlineStr">
        <is>
          <t>12/11/2025</t>
        </is>
      </c>
      <c r="B179" s="4" t="inlineStr">
        <is>
          <t>Orthopaedics</t>
        </is>
      </c>
      <c r="C179" s="5" t="inlineStr">
        <is>
          <t>Dr. Ahmed Azim Abdul Shakoor</t>
        </is>
      </c>
      <c r="D179" s="4" t="inlineStr"/>
      <c r="E179" s="4">
        <f>IF($D179="Custom","",IFERROR(XLOOKUP($B179&amp;"|"&amp;$D179,ShiftKnowledge!$A$2:$A$9,ShiftKnowledge!$D$2:$D$9,""),IFERROR(INDEX(ShiftKnowledge!$D$2:$D$9,MATCH($B179&amp;"|"&amp;$D179,ShiftKnowledge!$A$2:$A$9,0)),"")))</f>
        <v/>
      </c>
      <c r="F179" s="4" t="inlineStr"/>
      <c r="G179" s="4">
        <f>IF(AND($I179="",$L179=""),"",IFERROR(VALUE($I179),0)+IFERROR(VALUE($L179),0))</f>
        <v/>
      </c>
      <c r="H179" s="4">
        <f>IF($D179="Custom","",IFERROR(XLOOKUP($B179&amp;"|"&amp;$D179,ShiftKnowledge!$A$2:$A$9,ShiftKnowledge!$E$2:$E$9,""),IFERROR(INDEX(ShiftKnowledge!$E$2:$E$9,MATCH($B179&amp;"|"&amp;$D179,ShiftKnowledge!$A$2:$A$9,0)),"")))</f>
        <v/>
      </c>
      <c r="I179" s="4">
        <f>IF($D179="Custom","",IFERROR(XLOOKUP($B179&amp;"|"&amp;$D179,ShiftKnowledge!$A$2:$A$9,ShiftKnowledge!$F$2:$F$9,""),IFERROR(INDEX(ShiftKnowledge!$F$2:$F$9,MATCH($B179&amp;"|"&amp;$D179,ShiftKnowledge!$A$2:$A$9,0)),"")))</f>
        <v/>
      </c>
      <c r="J179" s="4">
        <f>IF($D179="Custom","",IFERROR(XLOOKUP($B179&amp;"|"&amp;$D179,ShiftKnowledge!$A$2:$A$9,ShiftKnowledge!$G$2:$G$9,""),IFERROR(INDEX(ShiftKnowledge!$G$2:$G$9,MATCH($B179&amp;"|"&amp;$D179,ShiftKnowledge!$A$2:$A$9,0)),"")))</f>
        <v/>
      </c>
      <c r="K179" s="4">
        <f>IF($D179="Custom","",IFERROR(XLOOKUP($B179&amp;"|"&amp;$D179,ShiftKnowledge!$A$2:$A$9,ShiftKnowledge!$H$2:$H$9,""),IFERROR(INDEX(ShiftKnowledge!$H$2:$H$9,MATCH($B179&amp;"|"&amp;$D179,ShiftKnowledge!$A$2:$A$9,0)),"")))</f>
        <v/>
      </c>
      <c r="L179" s="4">
        <f>IF($D179="Custom","",IFERROR(XLOOKUP($B179&amp;"|"&amp;$D179,ShiftKnowledge!$A$2:$A$9,ShiftKnowledge!$I$2:$I$9,""),IFERROR(INDEX(ShiftKnowledge!$I$2:$I$9,MATCH($B179&amp;"|"&amp;$D179,ShiftKnowledge!$A$2:$A$9,0)),"")))</f>
        <v/>
      </c>
      <c r="M179" s="4" t="inlineStr"/>
    </row>
    <row r="180" ht="20" customHeight="1">
      <c r="A180" s="6" t="inlineStr">
        <is>
          <t>12/11/2025</t>
        </is>
      </c>
      <c r="B180" s="6" t="inlineStr">
        <is>
          <t>Dermatology</t>
        </is>
      </c>
      <c r="C180" s="7" t="inlineStr">
        <is>
          <t>Dr. Ahmed Fekry Bahyeldin Khalafallah</t>
        </is>
      </c>
      <c r="D180" s="6" t="inlineStr"/>
      <c r="E180" s="6">
        <f>IF($D180="Custom","",IFERROR(XLOOKUP($B180&amp;"|"&amp;$D180,ShiftKnowledge!$A$2:$A$9,ShiftKnowledge!$D$2:$D$9,""),IFERROR(INDEX(ShiftKnowledge!$D$2:$D$9,MATCH($B180&amp;"|"&amp;$D180,ShiftKnowledge!$A$2:$A$9,0)),"")))</f>
        <v/>
      </c>
      <c r="F180" s="6" t="inlineStr"/>
      <c r="G180" s="6">
        <f>IF(AND($I180="",$L180=""),"",IFERROR(VALUE($I180),0)+IFERROR(VALUE($L180),0))</f>
        <v/>
      </c>
      <c r="H180" s="6">
        <f>IF($D180="Custom","",IFERROR(XLOOKUP($B180&amp;"|"&amp;$D180,ShiftKnowledge!$A$2:$A$9,ShiftKnowledge!$E$2:$E$9,""),IFERROR(INDEX(ShiftKnowledge!$E$2:$E$9,MATCH($B180&amp;"|"&amp;$D180,ShiftKnowledge!$A$2:$A$9,0)),"")))</f>
        <v/>
      </c>
      <c r="I180" s="6">
        <f>IF($D180="Custom","",IFERROR(XLOOKUP($B180&amp;"|"&amp;$D180,ShiftKnowledge!$A$2:$A$9,ShiftKnowledge!$F$2:$F$9,""),IFERROR(INDEX(ShiftKnowledge!$F$2:$F$9,MATCH($B180&amp;"|"&amp;$D180,ShiftKnowledge!$A$2:$A$9,0)),"")))</f>
        <v/>
      </c>
      <c r="J180" s="6">
        <f>IF($D180="Custom","",IFERROR(XLOOKUP($B180&amp;"|"&amp;$D180,ShiftKnowledge!$A$2:$A$9,ShiftKnowledge!$G$2:$G$9,""),IFERROR(INDEX(ShiftKnowledge!$G$2:$G$9,MATCH($B180&amp;"|"&amp;$D180,ShiftKnowledge!$A$2:$A$9,0)),"")))</f>
        <v/>
      </c>
      <c r="K180" s="6">
        <f>IF($D180="Custom","",IFERROR(XLOOKUP($B180&amp;"|"&amp;$D180,ShiftKnowledge!$A$2:$A$9,ShiftKnowledge!$H$2:$H$9,""),IFERROR(INDEX(ShiftKnowledge!$H$2:$H$9,MATCH($B180&amp;"|"&amp;$D180,ShiftKnowledge!$A$2:$A$9,0)),"")))</f>
        <v/>
      </c>
      <c r="L180" s="6">
        <f>IF($D180="Custom","",IFERROR(XLOOKUP($B180&amp;"|"&amp;$D180,ShiftKnowledge!$A$2:$A$9,ShiftKnowledge!$I$2:$I$9,""),IFERROR(INDEX(ShiftKnowledge!$I$2:$I$9,MATCH($B180&amp;"|"&amp;$D180,ShiftKnowledge!$A$2:$A$9,0)),"")))</f>
        <v/>
      </c>
      <c r="M180" s="6" t="inlineStr"/>
    </row>
    <row r="181" ht="20" customHeight="1">
      <c r="A181" s="4" t="inlineStr">
        <is>
          <t>12/11/2025</t>
        </is>
      </c>
      <c r="B181" s="4" t="inlineStr">
        <is>
          <t>Pulmonology</t>
        </is>
      </c>
      <c r="C181" s="5" t="inlineStr">
        <is>
          <t>Dr. Ahmed Gamal Youssef Meselhi</t>
        </is>
      </c>
      <c r="D181" s="4" t="inlineStr"/>
      <c r="E181" s="4">
        <f>IF($D181="Custom","",IFERROR(XLOOKUP($B181&amp;"|"&amp;$D181,ShiftKnowledge!$A$2:$A$9,ShiftKnowledge!$D$2:$D$9,""),IFERROR(INDEX(ShiftKnowledge!$D$2:$D$9,MATCH($B181&amp;"|"&amp;$D181,ShiftKnowledge!$A$2:$A$9,0)),"")))</f>
        <v/>
      </c>
      <c r="F181" s="4" t="inlineStr"/>
      <c r="G181" s="4">
        <f>IF(AND($I181="",$L181=""),"",IFERROR(VALUE($I181),0)+IFERROR(VALUE($L181),0))</f>
        <v/>
      </c>
      <c r="H181" s="4">
        <f>IF($D181="Custom","",IFERROR(XLOOKUP($B181&amp;"|"&amp;$D181,ShiftKnowledge!$A$2:$A$9,ShiftKnowledge!$E$2:$E$9,""),IFERROR(INDEX(ShiftKnowledge!$E$2:$E$9,MATCH($B181&amp;"|"&amp;$D181,ShiftKnowledge!$A$2:$A$9,0)),"")))</f>
        <v/>
      </c>
      <c r="I181" s="4">
        <f>IF($D181="Custom","",IFERROR(XLOOKUP($B181&amp;"|"&amp;$D181,ShiftKnowledge!$A$2:$A$9,ShiftKnowledge!$F$2:$F$9,""),IFERROR(INDEX(ShiftKnowledge!$F$2:$F$9,MATCH($B181&amp;"|"&amp;$D181,ShiftKnowledge!$A$2:$A$9,0)),"")))</f>
        <v/>
      </c>
      <c r="J181" s="4">
        <f>IF($D181="Custom","",IFERROR(XLOOKUP($B181&amp;"|"&amp;$D181,ShiftKnowledge!$A$2:$A$9,ShiftKnowledge!$G$2:$G$9,""),IFERROR(INDEX(ShiftKnowledge!$G$2:$G$9,MATCH($B181&amp;"|"&amp;$D181,ShiftKnowledge!$A$2:$A$9,0)),"")))</f>
        <v/>
      </c>
      <c r="K181" s="4">
        <f>IF($D181="Custom","",IFERROR(XLOOKUP($B181&amp;"|"&amp;$D181,ShiftKnowledge!$A$2:$A$9,ShiftKnowledge!$H$2:$H$9,""),IFERROR(INDEX(ShiftKnowledge!$H$2:$H$9,MATCH($B181&amp;"|"&amp;$D181,ShiftKnowledge!$A$2:$A$9,0)),"")))</f>
        <v/>
      </c>
      <c r="L181" s="4">
        <f>IF($D181="Custom","",IFERROR(XLOOKUP($B181&amp;"|"&amp;$D181,ShiftKnowledge!$A$2:$A$9,ShiftKnowledge!$I$2:$I$9,""),IFERROR(INDEX(ShiftKnowledge!$I$2:$I$9,MATCH($B181&amp;"|"&amp;$D181,ShiftKnowledge!$A$2:$A$9,0)),"")))</f>
        <v/>
      </c>
      <c r="M181" s="4" t="inlineStr"/>
    </row>
    <row r="182" ht="20" customHeight="1">
      <c r="A182" s="6" t="inlineStr">
        <is>
          <t>12/11/2025</t>
        </is>
      </c>
      <c r="B182" s="6" t="inlineStr">
        <is>
          <t>Dental</t>
        </is>
      </c>
      <c r="C182" s="7" t="inlineStr">
        <is>
          <t>Dr. Aishath Suha Ali</t>
        </is>
      </c>
      <c r="D182" s="6" t="inlineStr"/>
      <c r="E182" s="6">
        <f>IF($D182="Custom","",IFERROR(XLOOKUP($B182&amp;"|"&amp;$D182,ShiftKnowledge!$A$2:$A$9,ShiftKnowledge!$D$2:$D$9,""),IFERROR(INDEX(ShiftKnowledge!$D$2:$D$9,MATCH($B182&amp;"|"&amp;$D182,ShiftKnowledge!$A$2:$A$9,0)),"")))</f>
        <v/>
      </c>
      <c r="F182" s="6" t="inlineStr"/>
      <c r="G182" s="6">
        <f>IF(AND($I182="",$L182=""),"",IFERROR(VALUE($I182),0)+IFERROR(VALUE($L182),0))</f>
        <v/>
      </c>
      <c r="H182" s="6">
        <f>IF($D182="Custom","",IFERROR(XLOOKUP($B182&amp;"|"&amp;$D182,ShiftKnowledge!$A$2:$A$9,ShiftKnowledge!$E$2:$E$9,""),IFERROR(INDEX(ShiftKnowledge!$E$2:$E$9,MATCH($B182&amp;"|"&amp;$D182,ShiftKnowledge!$A$2:$A$9,0)),"")))</f>
        <v/>
      </c>
      <c r="I182" s="6">
        <f>IF($D182="Custom","",IFERROR(XLOOKUP($B182&amp;"|"&amp;$D182,ShiftKnowledge!$A$2:$A$9,ShiftKnowledge!$F$2:$F$9,""),IFERROR(INDEX(ShiftKnowledge!$F$2:$F$9,MATCH($B182&amp;"|"&amp;$D182,ShiftKnowledge!$A$2:$A$9,0)),"")))</f>
        <v/>
      </c>
      <c r="J182" s="6">
        <f>IF($D182="Custom","",IFERROR(XLOOKUP($B182&amp;"|"&amp;$D182,ShiftKnowledge!$A$2:$A$9,ShiftKnowledge!$G$2:$G$9,""),IFERROR(INDEX(ShiftKnowledge!$G$2:$G$9,MATCH($B182&amp;"|"&amp;$D182,ShiftKnowledge!$A$2:$A$9,0)),"")))</f>
        <v/>
      </c>
      <c r="K182" s="6">
        <f>IF($D182="Custom","",IFERROR(XLOOKUP($B182&amp;"|"&amp;$D182,ShiftKnowledge!$A$2:$A$9,ShiftKnowledge!$H$2:$H$9,""),IFERROR(INDEX(ShiftKnowledge!$H$2:$H$9,MATCH($B182&amp;"|"&amp;$D182,ShiftKnowledge!$A$2:$A$9,0)),"")))</f>
        <v/>
      </c>
      <c r="L182" s="6">
        <f>IF($D182="Custom","",IFERROR(XLOOKUP($B182&amp;"|"&amp;$D182,ShiftKnowledge!$A$2:$A$9,ShiftKnowledge!$I$2:$I$9,""),IFERROR(INDEX(ShiftKnowledge!$I$2:$I$9,MATCH($B182&amp;"|"&amp;$D182,ShiftKnowledge!$A$2:$A$9,0)),"")))</f>
        <v/>
      </c>
      <c r="M182" s="6" t="inlineStr"/>
    </row>
    <row r="183" ht="20" customHeight="1">
      <c r="A183" s="4" t="inlineStr">
        <is>
          <t>12/11/2025</t>
        </is>
      </c>
      <c r="B183" s="4" t="inlineStr">
        <is>
          <t>Paediatrics</t>
        </is>
      </c>
      <c r="C183" s="5" t="inlineStr">
        <is>
          <t>Dr. Alaa Adel Ahmed Sayed Ahmed Sobeih Elamawey</t>
        </is>
      </c>
      <c r="D183" s="4" t="inlineStr"/>
      <c r="E183" s="4">
        <f>IF($D183="Custom","",IFERROR(XLOOKUP($B183&amp;"|"&amp;$D183,ShiftKnowledge!$A$2:$A$9,ShiftKnowledge!$D$2:$D$9,""),IFERROR(INDEX(ShiftKnowledge!$D$2:$D$9,MATCH($B183&amp;"|"&amp;$D183,ShiftKnowledge!$A$2:$A$9,0)),"")))</f>
        <v/>
      </c>
      <c r="F183" s="4" t="inlineStr"/>
      <c r="G183" s="4">
        <f>IF(AND($I183="",$L183=""),"",IFERROR(VALUE($I183),0)+IFERROR(VALUE($L183),0))</f>
        <v/>
      </c>
      <c r="H183" s="4">
        <f>IF($D183="Custom","",IFERROR(XLOOKUP($B183&amp;"|"&amp;$D183,ShiftKnowledge!$A$2:$A$9,ShiftKnowledge!$E$2:$E$9,""),IFERROR(INDEX(ShiftKnowledge!$E$2:$E$9,MATCH($B183&amp;"|"&amp;$D183,ShiftKnowledge!$A$2:$A$9,0)),"")))</f>
        <v/>
      </c>
      <c r="I183" s="4">
        <f>IF($D183="Custom","",IFERROR(XLOOKUP($B183&amp;"|"&amp;$D183,ShiftKnowledge!$A$2:$A$9,ShiftKnowledge!$F$2:$F$9,""),IFERROR(INDEX(ShiftKnowledge!$F$2:$F$9,MATCH($B183&amp;"|"&amp;$D183,ShiftKnowledge!$A$2:$A$9,0)),"")))</f>
        <v/>
      </c>
      <c r="J183" s="4">
        <f>IF($D183="Custom","",IFERROR(XLOOKUP($B183&amp;"|"&amp;$D183,ShiftKnowledge!$A$2:$A$9,ShiftKnowledge!$G$2:$G$9,""),IFERROR(INDEX(ShiftKnowledge!$G$2:$G$9,MATCH($B183&amp;"|"&amp;$D183,ShiftKnowledge!$A$2:$A$9,0)),"")))</f>
        <v/>
      </c>
      <c r="K183" s="4">
        <f>IF($D183="Custom","",IFERROR(XLOOKUP($B183&amp;"|"&amp;$D183,ShiftKnowledge!$A$2:$A$9,ShiftKnowledge!$H$2:$H$9,""),IFERROR(INDEX(ShiftKnowledge!$H$2:$H$9,MATCH($B183&amp;"|"&amp;$D183,ShiftKnowledge!$A$2:$A$9,0)),"")))</f>
        <v/>
      </c>
      <c r="L183" s="4">
        <f>IF($D183="Custom","",IFERROR(XLOOKUP($B183&amp;"|"&amp;$D183,ShiftKnowledge!$A$2:$A$9,ShiftKnowledge!$I$2:$I$9,""),IFERROR(INDEX(ShiftKnowledge!$I$2:$I$9,MATCH($B183&amp;"|"&amp;$D183,ShiftKnowledge!$A$2:$A$9,0)),"")))</f>
        <v/>
      </c>
      <c r="M183" s="4" t="inlineStr"/>
    </row>
    <row r="184" ht="20" customHeight="1">
      <c r="A184" s="6" t="inlineStr">
        <is>
          <t>12/11/2025</t>
        </is>
      </c>
      <c r="B184" s="6" t="inlineStr">
        <is>
          <t>Paediatrics</t>
        </is>
      </c>
      <c r="C184" s="7" t="inlineStr">
        <is>
          <t>Dr. Alisha Joshi</t>
        </is>
      </c>
      <c r="D184" s="6" t="inlineStr"/>
      <c r="E184" s="6">
        <f>IF($D184="Custom","",IFERROR(XLOOKUP($B184&amp;"|"&amp;$D184,ShiftKnowledge!$A$2:$A$9,ShiftKnowledge!$D$2:$D$9,""),IFERROR(INDEX(ShiftKnowledge!$D$2:$D$9,MATCH($B184&amp;"|"&amp;$D184,ShiftKnowledge!$A$2:$A$9,0)),"")))</f>
        <v/>
      </c>
      <c r="F184" s="6" t="inlineStr"/>
      <c r="G184" s="6">
        <f>IF(AND($I184="",$L184=""),"",IFERROR(VALUE($I184),0)+IFERROR(VALUE($L184),0))</f>
        <v/>
      </c>
      <c r="H184" s="6">
        <f>IF($D184="Custom","",IFERROR(XLOOKUP($B184&amp;"|"&amp;$D184,ShiftKnowledge!$A$2:$A$9,ShiftKnowledge!$E$2:$E$9,""),IFERROR(INDEX(ShiftKnowledge!$E$2:$E$9,MATCH($B184&amp;"|"&amp;$D184,ShiftKnowledge!$A$2:$A$9,0)),"")))</f>
        <v/>
      </c>
      <c r="I184" s="6">
        <f>IF($D184="Custom","",IFERROR(XLOOKUP($B184&amp;"|"&amp;$D184,ShiftKnowledge!$A$2:$A$9,ShiftKnowledge!$F$2:$F$9,""),IFERROR(INDEX(ShiftKnowledge!$F$2:$F$9,MATCH($B184&amp;"|"&amp;$D184,ShiftKnowledge!$A$2:$A$9,0)),"")))</f>
        <v/>
      </c>
      <c r="J184" s="6">
        <f>IF($D184="Custom","",IFERROR(XLOOKUP($B184&amp;"|"&amp;$D184,ShiftKnowledge!$A$2:$A$9,ShiftKnowledge!$G$2:$G$9,""),IFERROR(INDEX(ShiftKnowledge!$G$2:$G$9,MATCH($B184&amp;"|"&amp;$D184,ShiftKnowledge!$A$2:$A$9,0)),"")))</f>
        <v/>
      </c>
      <c r="K184" s="6">
        <f>IF($D184="Custom","",IFERROR(XLOOKUP($B184&amp;"|"&amp;$D184,ShiftKnowledge!$A$2:$A$9,ShiftKnowledge!$H$2:$H$9,""),IFERROR(INDEX(ShiftKnowledge!$H$2:$H$9,MATCH($B184&amp;"|"&amp;$D184,ShiftKnowledge!$A$2:$A$9,0)),"")))</f>
        <v/>
      </c>
      <c r="L184" s="6">
        <f>IF($D184="Custom","",IFERROR(XLOOKUP($B184&amp;"|"&amp;$D184,ShiftKnowledge!$A$2:$A$9,ShiftKnowledge!$I$2:$I$9,""),IFERROR(INDEX(ShiftKnowledge!$I$2:$I$9,MATCH($B184&amp;"|"&amp;$D184,ShiftKnowledge!$A$2:$A$9,0)),"")))</f>
        <v/>
      </c>
      <c r="M184" s="6" t="inlineStr"/>
    </row>
    <row r="185" ht="20" customHeight="1">
      <c r="A185" s="4" t="inlineStr">
        <is>
          <t>12/11/2025</t>
        </is>
      </c>
      <c r="B185" s="4" t="inlineStr">
        <is>
          <t>Dental</t>
        </is>
      </c>
      <c r="C185" s="5" t="inlineStr">
        <is>
          <t>Dr. Aminath Dhunyana</t>
        </is>
      </c>
      <c r="D185" s="4" t="inlineStr"/>
      <c r="E185" s="4">
        <f>IF($D185="Custom","",IFERROR(XLOOKUP($B185&amp;"|"&amp;$D185,ShiftKnowledge!$A$2:$A$9,ShiftKnowledge!$D$2:$D$9,""),IFERROR(INDEX(ShiftKnowledge!$D$2:$D$9,MATCH($B185&amp;"|"&amp;$D185,ShiftKnowledge!$A$2:$A$9,0)),"")))</f>
        <v/>
      </c>
      <c r="F185" s="4" t="inlineStr"/>
      <c r="G185" s="4">
        <f>IF(AND($I185="",$L185=""),"",IFERROR(VALUE($I185),0)+IFERROR(VALUE($L185),0))</f>
        <v/>
      </c>
      <c r="H185" s="4">
        <f>IF($D185="Custom","",IFERROR(XLOOKUP($B185&amp;"|"&amp;$D185,ShiftKnowledge!$A$2:$A$9,ShiftKnowledge!$E$2:$E$9,""),IFERROR(INDEX(ShiftKnowledge!$E$2:$E$9,MATCH($B185&amp;"|"&amp;$D185,ShiftKnowledge!$A$2:$A$9,0)),"")))</f>
        <v/>
      </c>
      <c r="I185" s="4">
        <f>IF($D185="Custom","",IFERROR(XLOOKUP($B185&amp;"|"&amp;$D185,ShiftKnowledge!$A$2:$A$9,ShiftKnowledge!$F$2:$F$9,""),IFERROR(INDEX(ShiftKnowledge!$F$2:$F$9,MATCH($B185&amp;"|"&amp;$D185,ShiftKnowledge!$A$2:$A$9,0)),"")))</f>
        <v/>
      </c>
      <c r="J185" s="4">
        <f>IF($D185="Custom","",IFERROR(XLOOKUP($B185&amp;"|"&amp;$D185,ShiftKnowledge!$A$2:$A$9,ShiftKnowledge!$G$2:$G$9,""),IFERROR(INDEX(ShiftKnowledge!$G$2:$G$9,MATCH($B185&amp;"|"&amp;$D185,ShiftKnowledge!$A$2:$A$9,0)),"")))</f>
        <v/>
      </c>
      <c r="K185" s="4">
        <f>IF($D185="Custom","",IFERROR(XLOOKUP($B185&amp;"|"&amp;$D185,ShiftKnowledge!$A$2:$A$9,ShiftKnowledge!$H$2:$H$9,""),IFERROR(INDEX(ShiftKnowledge!$H$2:$H$9,MATCH($B185&amp;"|"&amp;$D185,ShiftKnowledge!$A$2:$A$9,0)),"")))</f>
        <v/>
      </c>
      <c r="L185" s="4">
        <f>IF($D185="Custom","",IFERROR(XLOOKUP($B185&amp;"|"&amp;$D185,ShiftKnowledge!$A$2:$A$9,ShiftKnowledge!$I$2:$I$9,""),IFERROR(INDEX(ShiftKnowledge!$I$2:$I$9,MATCH($B185&amp;"|"&amp;$D185,ShiftKnowledge!$A$2:$A$9,0)),"")))</f>
        <v/>
      </c>
      <c r="M185" s="4" t="inlineStr"/>
    </row>
    <row r="186" ht="20" customHeight="1">
      <c r="A186" s="6" t="inlineStr">
        <is>
          <t>12/11/2025</t>
        </is>
      </c>
      <c r="B186" s="6" t="inlineStr">
        <is>
          <t>Gynaecology</t>
        </is>
      </c>
      <c r="C186" s="7" t="inlineStr">
        <is>
          <t>Dr. Aminath Juhaina</t>
        </is>
      </c>
      <c r="D186" s="6" t="inlineStr"/>
      <c r="E186" s="6">
        <f>IF($D186="Custom","",IFERROR(XLOOKUP($B186&amp;"|"&amp;$D186,ShiftKnowledge!$A$2:$A$9,ShiftKnowledge!$D$2:$D$9,""),IFERROR(INDEX(ShiftKnowledge!$D$2:$D$9,MATCH($B186&amp;"|"&amp;$D186,ShiftKnowledge!$A$2:$A$9,0)),"")))</f>
        <v/>
      </c>
      <c r="F186" s="6" t="inlineStr"/>
      <c r="G186" s="6">
        <f>IF(AND($I186="",$L186=""),"",IFERROR(VALUE($I186),0)+IFERROR(VALUE($L186),0))</f>
        <v/>
      </c>
      <c r="H186" s="6">
        <f>IF($D186="Custom","",IFERROR(XLOOKUP($B186&amp;"|"&amp;$D186,ShiftKnowledge!$A$2:$A$9,ShiftKnowledge!$E$2:$E$9,""),IFERROR(INDEX(ShiftKnowledge!$E$2:$E$9,MATCH($B186&amp;"|"&amp;$D186,ShiftKnowledge!$A$2:$A$9,0)),"")))</f>
        <v/>
      </c>
      <c r="I186" s="6">
        <f>IF($D186="Custom","",IFERROR(XLOOKUP($B186&amp;"|"&amp;$D186,ShiftKnowledge!$A$2:$A$9,ShiftKnowledge!$F$2:$F$9,""),IFERROR(INDEX(ShiftKnowledge!$F$2:$F$9,MATCH($B186&amp;"|"&amp;$D186,ShiftKnowledge!$A$2:$A$9,0)),"")))</f>
        <v/>
      </c>
      <c r="J186" s="6">
        <f>IF($D186="Custom","",IFERROR(XLOOKUP($B186&amp;"|"&amp;$D186,ShiftKnowledge!$A$2:$A$9,ShiftKnowledge!$G$2:$G$9,""),IFERROR(INDEX(ShiftKnowledge!$G$2:$G$9,MATCH($B186&amp;"|"&amp;$D186,ShiftKnowledge!$A$2:$A$9,0)),"")))</f>
        <v/>
      </c>
      <c r="K186" s="6">
        <f>IF($D186="Custom","",IFERROR(XLOOKUP($B186&amp;"|"&amp;$D186,ShiftKnowledge!$A$2:$A$9,ShiftKnowledge!$H$2:$H$9,""),IFERROR(INDEX(ShiftKnowledge!$H$2:$H$9,MATCH($B186&amp;"|"&amp;$D186,ShiftKnowledge!$A$2:$A$9,0)),"")))</f>
        <v/>
      </c>
      <c r="L186" s="6">
        <f>IF($D186="Custom","",IFERROR(XLOOKUP($B186&amp;"|"&amp;$D186,ShiftKnowledge!$A$2:$A$9,ShiftKnowledge!$I$2:$I$9,""),IFERROR(INDEX(ShiftKnowledge!$I$2:$I$9,MATCH($B186&amp;"|"&amp;$D186,ShiftKnowledge!$A$2:$A$9,0)),"")))</f>
        <v/>
      </c>
      <c r="M186" s="6" t="inlineStr"/>
    </row>
    <row r="187" ht="20" customHeight="1">
      <c r="A187" s="4" t="inlineStr">
        <is>
          <t>12/11/2025</t>
        </is>
      </c>
      <c r="B187" s="4" t="inlineStr">
        <is>
          <t>Dental</t>
        </is>
      </c>
      <c r="C187" s="5" t="inlineStr">
        <is>
          <t>Dr. Aminath Khazna Musthafa</t>
        </is>
      </c>
      <c r="D187" s="4" t="inlineStr"/>
      <c r="E187" s="4">
        <f>IF($D187="Custom","",IFERROR(XLOOKUP($B187&amp;"|"&amp;$D187,ShiftKnowledge!$A$2:$A$9,ShiftKnowledge!$D$2:$D$9,""),IFERROR(INDEX(ShiftKnowledge!$D$2:$D$9,MATCH($B187&amp;"|"&amp;$D187,ShiftKnowledge!$A$2:$A$9,0)),"")))</f>
        <v/>
      </c>
      <c r="F187" s="4" t="inlineStr"/>
      <c r="G187" s="4">
        <f>IF(AND($I187="",$L187=""),"",IFERROR(VALUE($I187),0)+IFERROR(VALUE($L187),0))</f>
        <v/>
      </c>
      <c r="H187" s="4">
        <f>IF($D187="Custom","",IFERROR(XLOOKUP($B187&amp;"|"&amp;$D187,ShiftKnowledge!$A$2:$A$9,ShiftKnowledge!$E$2:$E$9,""),IFERROR(INDEX(ShiftKnowledge!$E$2:$E$9,MATCH($B187&amp;"|"&amp;$D187,ShiftKnowledge!$A$2:$A$9,0)),"")))</f>
        <v/>
      </c>
      <c r="I187" s="4">
        <f>IF($D187="Custom","",IFERROR(XLOOKUP($B187&amp;"|"&amp;$D187,ShiftKnowledge!$A$2:$A$9,ShiftKnowledge!$F$2:$F$9,""),IFERROR(INDEX(ShiftKnowledge!$F$2:$F$9,MATCH($B187&amp;"|"&amp;$D187,ShiftKnowledge!$A$2:$A$9,0)),"")))</f>
        <v/>
      </c>
      <c r="J187" s="4">
        <f>IF($D187="Custom","",IFERROR(XLOOKUP($B187&amp;"|"&amp;$D187,ShiftKnowledge!$A$2:$A$9,ShiftKnowledge!$G$2:$G$9,""),IFERROR(INDEX(ShiftKnowledge!$G$2:$G$9,MATCH($B187&amp;"|"&amp;$D187,ShiftKnowledge!$A$2:$A$9,0)),"")))</f>
        <v/>
      </c>
      <c r="K187" s="4">
        <f>IF($D187="Custom","",IFERROR(XLOOKUP($B187&amp;"|"&amp;$D187,ShiftKnowledge!$A$2:$A$9,ShiftKnowledge!$H$2:$H$9,""),IFERROR(INDEX(ShiftKnowledge!$H$2:$H$9,MATCH($B187&amp;"|"&amp;$D187,ShiftKnowledge!$A$2:$A$9,0)),"")))</f>
        <v/>
      </c>
      <c r="L187" s="4">
        <f>IF($D187="Custom","",IFERROR(XLOOKUP($B187&amp;"|"&amp;$D187,ShiftKnowledge!$A$2:$A$9,ShiftKnowledge!$I$2:$I$9,""),IFERROR(INDEX(ShiftKnowledge!$I$2:$I$9,MATCH($B187&amp;"|"&amp;$D187,ShiftKnowledge!$A$2:$A$9,0)),"")))</f>
        <v/>
      </c>
      <c r="M187" s="4" t="inlineStr"/>
    </row>
    <row r="188" ht="20" customHeight="1">
      <c r="A188" s="6" t="inlineStr">
        <is>
          <t>12/11/2025</t>
        </is>
      </c>
      <c r="B188" s="6" t="inlineStr">
        <is>
          <t>Internal Medicine</t>
        </is>
      </c>
      <c r="C188" s="7" t="inlineStr">
        <is>
          <t>Dr. Aminath Munaza</t>
        </is>
      </c>
      <c r="D188" s="6" t="inlineStr"/>
      <c r="E188" s="6">
        <f>IF($D188="Custom","",IFERROR(XLOOKUP($B188&amp;"|"&amp;$D188,ShiftKnowledge!$A$2:$A$9,ShiftKnowledge!$D$2:$D$9,""),IFERROR(INDEX(ShiftKnowledge!$D$2:$D$9,MATCH($B188&amp;"|"&amp;$D188,ShiftKnowledge!$A$2:$A$9,0)),"")))</f>
        <v/>
      </c>
      <c r="F188" s="6" t="inlineStr"/>
      <c r="G188" s="6">
        <f>IF(AND($I188="",$L188=""),"",IFERROR(VALUE($I188),0)+IFERROR(VALUE($L188),0))</f>
        <v/>
      </c>
      <c r="H188" s="6">
        <f>IF($D188="Custom","",IFERROR(XLOOKUP($B188&amp;"|"&amp;$D188,ShiftKnowledge!$A$2:$A$9,ShiftKnowledge!$E$2:$E$9,""),IFERROR(INDEX(ShiftKnowledge!$E$2:$E$9,MATCH($B188&amp;"|"&amp;$D188,ShiftKnowledge!$A$2:$A$9,0)),"")))</f>
        <v/>
      </c>
      <c r="I188" s="6">
        <f>IF($D188="Custom","",IFERROR(XLOOKUP($B188&amp;"|"&amp;$D188,ShiftKnowledge!$A$2:$A$9,ShiftKnowledge!$F$2:$F$9,""),IFERROR(INDEX(ShiftKnowledge!$F$2:$F$9,MATCH($B188&amp;"|"&amp;$D188,ShiftKnowledge!$A$2:$A$9,0)),"")))</f>
        <v/>
      </c>
      <c r="J188" s="6">
        <f>IF($D188="Custom","",IFERROR(XLOOKUP($B188&amp;"|"&amp;$D188,ShiftKnowledge!$A$2:$A$9,ShiftKnowledge!$G$2:$G$9,""),IFERROR(INDEX(ShiftKnowledge!$G$2:$G$9,MATCH($B188&amp;"|"&amp;$D188,ShiftKnowledge!$A$2:$A$9,0)),"")))</f>
        <v/>
      </c>
      <c r="K188" s="6">
        <f>IF($D188="Custom","",IFERROR(XLOOKUP($B188&amp;"|"&amp;$D188,ShiftKnowledge!$A$2:$A$9,ShiftKnowledge!$H$2:$H$9,""),IFERROR(INDEX(ShiftKnowledge!$H$2:$H$9,MATCH($B188&amp;"|"&amp;$D188,ShiftKnowledge!$A$2:$A$9,0)),"")))</f>
        <v/>
      </c>
      <c r="L188" s="6">
        <f>IF($D188="Custom","",IFERROR(XLOOKUP($B188&amp;"|"&amp;$D188,ShiftKnowledge!$A$2:$A$9,ShiftKnowledge!$I$2:$I$9,""),IFERROR(INDEX(ShiftKnowledge!$I$2:$I$9,MATCH($B188&amp;"|"&amp;$D188,ShiftKnowledge!$A$2:$A$9,0)),"")))</f>
        <v/>
      </c>
      <c r="M188" s="6" t="inlineStr"/>
    </row>
    <row r="189" ht="20" customHeight="1">
      <c r="A189" s="4" t="inlineStr">
        <is>
          <t>12/11/2025</t>
        </is>
      </c>
      <c r="B189" s="4" t="inlineStr">
        <is>
          <t>Psychiatry</t>
        </is>
      </c>
      <c r="C189" s="5" t="inlineStr">
        <is>
          <t>Dr. Anas Mohamed Anwar Ahmed Ali</t>
        </is>
      </c>
      <c r="D189" s="4" t="inlineStr"/>
      <c r="E189" s="4">
        <f>IF($D189="Custom","",IFERROR(XLOOKUP($B189&amp;"|"&amp;$D189,ShiftKnowledge!$A$2:$A$9,ShiftKnowledge!$D$2:$D$9,""),IFERROR(INDEX(ShiftKnowledge!$D$2:$D$9,MATCH($B189&amp;"|"&amp;$D189,ShiftKnowledge!$A$2:$A$9,0)),"")))</f>
        <v/>
      </c>
      <c r="F189" s="4" t="inlineStr"/>
      <c r="G189" s="4">
        <f>IF(AND($I189="",$L189=""),"",IFERROR(VALUE($I189),0)+IFERROR(VALUE($L189),0))</f>
        <v/>
      </c>
      <c r="H189" s="4">
        <f>IF($D189="Custom","",IFERROR(XLOOKUP($B189&amp;"|"&amp;$D189,ShiftKnowledge!$A$2:$A$9,ShiftKnowledge!$E$2:$E$9,""),IFERROR(INDEX(ShiftKnowledge!$E$2:$E$9,MATCH($B189&amp;"|"&amp;$D189,ShiftKnowledge!$A$2:$A$9,0)),"")))</f>
        <v/>
      </c>
      <c r="I189" s="4">
        <f>IF($D189="Custom","",IFERROR(XLOOKUP($B189&amp;"|"&amp;$D189,ShiftKnowledge!$A$2:$A$9,ShiftKnowledge!$F$2:$F$9,""),IFERROR(INDEX(ShiftKnowledge!$F$2:$F$9,MATCH($B189&amp;"|"&amp;$D189,ShiftKnowledge!$A$2:$A$9,0)),"")))</f>
        <v/>
      </c>
      <c r="J189" s="4">
        <f>IF($D189="Custom","",IFERROR(XLOOKUP($B189&amp;"|"&amp;$D189,ShiftKnowledge!$A$2:$A$9,ShiftKnowledge!$G$2:$G$9,""),IFERROR(INDEX(ShiftKnowledge!$G$2:$G$9,MATCH($B189&amp;"|"&amp;$D189,ShiftKnowledge!$A$2:$A$9,0)),"")))</f>
        <v/>
      </c>
      <c r="K189" s="4">
        <f>IF($D189="Custom","",IFERROR(XLOOKUP($B189&amp;"|"&amp;$D189,ShiftKnowledge!$A$2:$A$9,ShiftKnowledge!$H$2:$H$9,""),IFERROR(INDEX(ShiftKnowledge!$H$2:$H$9,MATCH($B189&amp;"|"&amp;$D189,ShiftKnowledge!$A$2:$A$9,0)),"")))</f>
        <v/>
      </c>
      <c r="L189" s="4">
        <f>IF($D189="Custom","",IFERROR(XLOOKUP($B189&amp;"|"&amp;$D189,ShiftKnowledge!$A$2:$A$9,ShiftKnowledge!$I$2:$I$9,""),IFERROR(INDEX(ShiftKnowledge!$I$2:$I$9,MATCH($B189&amp;"|"&amp;$D189,ShiftKnowledge!$A$2:$A$9,0)),"")))</f>
        <v/>
      </c>
      <c r="M189" s="4" t="inlineStr"/>
    </row>
    <row r="190" ht="20" customHeight="1">
      <c r="A190" s="6" t="inlineStr">
        <is>
          <t>12/11/2025</t>
        </is>
      </c>
      <c r="B190" s="6" t="inlineStr">
        <is>
          <t>Oral Maxillo facial surgery (OMS)</t>
        </is>
      </c>
      <c r="C190" s="7" t="inlineStr">
        <is>
          <t>Dr. Arpita Singh</t>
        </is>
      </c>
      <c r="D190" s="6" t="inlineStr"/>
      <c r="E190" s="6">
        <f>IF($D190="Custom","",IFERROR(XLOOKUP($B190&amp;"|"&amp;$D190,ShiftKnowledge!$A$2:$A$9,ShiftKnowledge!$D$2:$D$9,""),IFERROR(INDEX(ShiftKnowledge!$D$2:$D$9,MATCH($B190&amp;"|"&amp;$D190,ShiftKnowledge!$A$2:$A$9,0)),"")))</f>
        <v/>
      </c>
      <c r="F190" s="6" t="inlineStr"/>
      <c r="G190" s="6">
        <f>IF(AND($I190="",$L190=""),"",IFERROR(VALUE($I190),0)+IFERROR(VALUE($L190),0))</f>
        <v/>
      </c>
      <c r="H190" s="6">
        <f>IF($D190="Custom","",IFERROR(XLOOKUP($B190&amp;"|"&amp;$D190,ShiftKnowledge!$A$2:$A$9,ShiftKnowledge!$E$2:$E$9,""),IFERROR(INDEX(ShiftKnowledge!$E$2:$E$9,MATCH($B190&amp;"|"&amp;$D190,ShiftKnowledge!$A$2:$A$9,0)),"")))</f>
        <v/>
      </c>
      <c r="I190" s="6">
        <f>IF($D190="Custom","",IFERROR(XLOOKUP($B190&amp;"|"&amp;$D190,ShiftKnowledge!$A$2:$A$9,ShiftKnowledge!$F$2:$F$9,""),IFERROR(INDEX(ShiftKnowledge!$F$2:$F$9,MATCH($B190&amp;"|"&amp;$D190,ShiftKnowledge!$A$2:$A$9,0)),"")))</f>
        <v/>
      </c>
      <c r="J190" s="6">
        <f>IF($D190="Custom","",IFERROR(XLOOKUP($B190&amp;"|"&amp;$D190,ShiftKnowledge!$A$2:$A$9,ShiftKnowledge!$G$2:$G$9,""),IFERROR(INDEX(ShiftKnowledge!$G$2:$G$9,MATCH($B190&amp;"|"&amp;$D190,ShiftKnowledge!$A$2:$A$9,0)),"")))</f>
        <v/>
      </c>
      <c r="K190" s="6">
        <f>IF($D190="Custom","",IFERROR(XLOOKUP($B190&amp;"|"&amp;$D190,ShiftKnowledge!$A$2:$A$9,ShiftKnowledge!$H$2:$H$9,""),IFERROR(INDEX(ShiftKnowledge!$H$2:$H$9,MATCH($B190&amp;"|"&amp;$D190,ShiftKnowledge!$A$2:$A$9,0)),"")))</f>
        <v/>
      </c>
      <c r="L190" s="6">
        <f>IF($D190="Custom","",IFERROR(XLOOKUP($B190&amp;"|"&amp;$D190,ShiftKnowledge!$A$2:$A$9,ShiftKnowledge!$I$2:$I$9,""),IFERROR(INDEX(ShiftKnowledge!$I$2:$I$9,MATCH($B190&amp;"|"&amp;$D190,ShiftKnowledge!$A$2:$A$9,0)),"")))</f>
        <v/>
      </c>
      <c r="M190" s="6" t="inlineStr"/>
    </row>
    <row r="191" ht="20" customHeight="1">
      <c r="A191" s="4" t="inlineStr">
        <is>
          <t>12/11/2025</t>
        </is>
      </c>
      <c r="B191" s="4" t="inlineStr">
        <is>
          <t>Orthopaedics</t>
        </is>
      </c>
      <c r="C191" s="5" t="inlineStr">
        <is>
          <t>Dr. Asish Rajak</t>
        </is>
      </c>
      <c r="D191" s="4" t="inlineStr"/>
      <c r="E191" s="4">
        <f>IF($D191="Custom","",IFERROR(XLOOKUP($B191&amp;"|"&amp;$D191,ShiftKnowledge!$A$2:$A$9,ShiftKnowledge!$D$2:$D$9,""),IFERROR(INDEX(ShiftKnowledge!$D$2:$D$9,MATCH($B191&amp;"|"&amp;$D191,ShiftKnowledge!$A$2:$A$9,0)),"")))</f>
        <v/>
      </c>
      <c r="F191" s="4" t="inlineStr"/>
      <c r="G191" s="4">
        <f>IF(AND($I191="",$L191=""),"",IFERROR(VALUE($I191),0)+IFERROR(VALUE($L191),0))</f>
        <v/>
      </c>
      <c r="H191" s="4">
        <f>IF($D191="Custom","",IFERROR(XLOOKUP($B191&amp;"|"&amp;$D191,ShiftKnowledge!$A$2:$A$9,ShiftKnowledge!$E$2:$E$9,""),IFERROR(INDEX(ShiftKnowledge!$E$2:$E$9,MATCH($B191&amp;"|"&amp;$D191,ShiftKnowledge!$A$2:$A$9,0)),"")))</f>
        <v/>
      </c>
      <c r="I191" s="4">
        <f>IF($D191="Custom","",IFERROR(XLOOKUP($B191&amp;"|"&amp;$D191,ShiftKnowledge!$A$2:$A$9,ShiftKnowledge!$F$2:$F$9,""),IFERROR(INDEX(ShiftKnowledge!$F$2:$F$9,MATCH($B191&amp;"|"&amp;$D191,ShiftKnowledge!$A$2:$A$9,0)),"")))</f>
        <v/>
      </c>
      <c r="J191" s="4">
        <f>IF($D191="Custom","",IFERROR(XLOOKUP($B191&amp;"|"&amp;$D191,ShiftKnowledge!$A$2:$A$9,ShiftKnowledge!$G$2:$G$9,""),IFERROR(INDEX(ShiftKnowledge!$G$2:$G$9,MATCH($B191&amp;"|"&amp;$D191,ShiftKnowledge!$A$2:$A$9,0)),"")))</f>
        <v/>
      </c>
      <c r="K191" s="4">
        <f>IF($D191="Custom","",IFERROR(XLOOKUP($B191&amp;"|"&amp;$D191,ShiftKnowledge!$A$2:$A$9,ShiftKnowledge!$H$2:$H$9,""),IFERROR(INDEX(ShiftKnowledge!$H$2:$H$9,MATCH($B191&amp;"|"&amp;$D191,ShiftKnowledge!$A$2:$A$9,0)),"")))</f>
        <v/>
      </c>
      <c r="L191" s="4">
        <f>IF($D191="Custom","",IFERROR(XLOOKUP($B191&amp;"|"&amp;$D191,ShiftKnowledge!$A$2:$A$9,ShiftKnowledge!$I$2:$I$9,""),IFERROR(INDEX(ShiftKnowledge!$I$2:$I$9,MATCH($B191&amp;"|"&amp;$D191,ShiftKnowledge!$A$2:$A$9,0)),"")))</f>
        <v/>
      </c>
      <c r="M191" s="4" t="inlineStr"/>
    </row>
    <row r="192" ht="20" customHeight="1">
      <c r="A192" s="6" t="inlineStr">
        <is>
          <t>12/11/2025</t>
        </is>
      </c>
      <c r="B192" s="6" t="inlineStr">
        <is>
          <t>Dermatology</t>
        </is>
      </c>
      <c r="C192" s="7" t="inlineStr">
        <is>
          <t>Dr. Aya Gamal Kotb Mohamed Elagamy</t>
        </is>
      </c>
      <c r="D192" s="6" t="inlineStr"/>
      <c r="E192" s="6">
        <f>IF($D192="Custom","",IFERROR(XLOOKUP($B192&amp;"|"&amp;$D192,ShiftKnowledge!$A$2:$A$9,ShiftKnowledge!$D$2:$D$9,""),IFERROR(INDEX(ShiftKnowledge!$D$2:$D$9,MATCH($B192&amp;"|"&amp;$D192,ShiftKnowledge!$A$2:$A$9,0)),"")))</f>
        <v/>
      </c>
      <c r="F192" s="6" t="inlineStr"/>
      <c r="G192" s="6">
        <f>IF(AND($I192="",$L192=""),"",IFERROR(VALUE($I192),0)+IFERROR(VALUE($L192),0))</f>
        <v/>
      </c>
      <c r="H192" s="6">
        <f>IF($D192="Custom","",IFERROR(XLOOKUP($B192&amp;"|"&amp;$D192,ShiftKnowledge!$A$2:$A$9,ShiftKnowledge!$E$2:$E$9,""),IFERROR(INDEX(ShiftKnowledge!$E$2:$E$9,MATCH($B192&amp;"|"&amp;$D192,ShiftKnowledge!$A$2:$A$9,0)),"")))</f>
        <v/>
      </c>
      <c r="I192" s="6">
        <f>IF($D192="Custom","",IFERROR(XLOOKUP($B192&amp;"|"&amp;$D192,ShiftKnowledge!$A$2:$A$9,ShiftKnowledge!$F$2:$F$9,""),IFERROR(INDEX(ShiftKnowledge!$F$2:$F$9,MATCH($B192&amp;"|"&amp;$D192,ShiftKnowledge!$A$2:$A$9,0)),"")))</f>
        <v/>
      </c>
      <c r="J192" s="6">
        <f>IF($D192="Custom","",IFERROR(XLOOKUP($B192&amp;"|"&amp;$D192,ShiftKnowledge!$A$2:$A$9,ShiftKnowledge!$G$2:$G$9,""),IFERROR(INDEX(ShiftKnowledge!$G$2:$G$9,MATCH($B192&amp;"|"&amp;$D192,ShiftKnowledge!$A$2:$A$9,0)),"")))</f>
        <v/>
      </c>
      <c r="K192" s="6">
        <f>IF($D192="Custom","",IFERROR(XLOOKUP($B192&amp;"|"&amp;$D192,ShiftKnowledge!$A$2:$A$9,ShiftKnowledge!$H$2:$H$9,""),IFERROR(INDEX(ShiftKnowledge!$H$2:$H$9,MATCH($B192&amp;"|"&amp;$D192,ShiftKnowledge!$A$2:$A$9,0)),"")))</f>
        <v/>
      </c>
      <c r="L192" s="6">
        <f>IF($D192="Custom","",IFERROR(XLOOKUP($B192&amp;"|"&amp;$D192,ShiftKnowledge!$A$2:$A$9,ShiftKnowledge!$I$2:$I$9,""),IFERROR(INDEX(ShiftKnowledge!$I$2:$I$9,MATCH($B192&amp;"|"&amp;$D192,ShiftKnowledge!$A$2:$A$9,0)),"")))</f>
        <v/>
      </c>
      <c r="M192" s="6" t="inlineStr"/>
    </row>
    <row r="193" ht="20" customHeight="1">
      <c r="A193" s="4" t="inlineStr">
        <is>
          <t>12/11/2025</t>
        </is>
      </c>
      <c r="B193" s="4" t="inlineStr">
        <is>
          <t>Dental</t>
        </is>
      </c>
      <c r="C193" s="5" t="inlineStr">
        <is>
          <t>Dr. Benjamin Premkumar</t>
        </is>
      </c>
      <c r="D193" s="4" t="inlineStr"/>
      <c r="E193" s="4">
        <f>IF($D193="Custom","",IFERROR(XLOOKUP($B193&amp;"|"&amp;$D193,ShiftKnowledge!$A$2:$A$9,ShiftKnowledge!$D$2:$D$9,""),IFERROR(INDEX(ShiftKnowledge!$D$2:$D$9,MATCH($B193&amp;"|"&amp;$D193,ShiftKnowledge!$A$2:$A$9,0)),"")))</f>
        <v/>
      </c>
      <c r="F193" s="4" t="inlineStr"/>
      <c r="G193" s="4">
        <f>IF(AND($I193="",$L193=""),"",IFERROR(VALUE($I193),0)+IFERROR(VALUE($L193),0))</f>
        <v/>
      </c>
      <c r="H193" s="4">
        <f>IF($D193="Custom","",IFERROR(XLOOKUP($B193&amp;"|"&amp;$D193,ShiftKnowledge!$A$2:$A$9,ShiftKnowledge!$E$2:$E$9,""),IFERROR(INDEX(ShiftKnowledge!$E$2:$E$9,MATCH($B193&amp;"|"&amp;$D193,ShiftKnowledge!$A$2:$A$9,0)),"")))</f>
        <v/>
      </c>
      <c r="I193" s="4">
        <f>IF($D193="Custom","",IFERROR(XLOOKUP($B193&amp;"|"&amp;$D193,ShiftKnowledge!$A$2:$A$9,ShiftKnowledge!$F$2:$F$9,""),IFERROR(INDEX(ShiftKnowledge!$F$2:$F$9,MATCH($B193&amp;"|"&amp;$D193,ShiftKnowledge!$A$2:$A$9,0)),"")))</f>
        <v/>
      </c>
      <c r="J193" s="4">
        <f>IF($D193="Custom","",IFERROR(XLOOKUP($B193&amp;"|"&amp;$D193,ShiftKnowledge!$A$2:$A$9,ShiftKnowledge!$G$2:$G$9,""),IFERROR(INDEX(ShiftKnowledge!$G$2:$G$9,MATCH($B193&amp;"|"&amp;$D193,ShiftKnowledge!$A$2:$A$9,0)),"")))</f>
        <v/>
      </c>
      <c r="K193" s="4">
        <f>IF($D193="Custom","",IFERROR(XLOOKUP($B193&amp;"|"&amp;$D193,ShiftKnowledge!$A$2:$A$9,ShiftKnowledge!$H$2:$H$9,""),IFERROR(INDEX(ShiftKnowledge!$H$2:$H$9,MATCH($B193&amp;"|"&amp;$D193,ShiftKnowledge!$A$2:$A$9,0)),"")))</f>
        <v/>
      </c>
      <c r="L193" s="4">
        <f>IF($D193="Custom","",IFERROR(XLOOKUP($B193&amp;"|"&amp;$D193,ShiftKnowledge!$A$2:$A$9,ShiftKnowledge!$I$2:$I$9,""),IFERROR(INDEX(ShiftKnowledge!$I$2:$I$9,MATCH($B193&amp;"|"&amp;$D193,ShiftKnowledge!$A$2:$A$9,0)),"")))</f>
        <v/>
      </c>
      <c r="M193" s="4" t="inlineStr"/>
    </row>
    <row r="194" ht="20" customHeight="1">
      <c r="A194" s="6" t="inlineStr">
        <is>
          <t>12/11/2025</t>
        </is>
      </c>
      <c r="B194" s="6" t="inlineStr">
        <is>
          <t>Internal Medicine</t>
        </is>
      </c>
      <c r="C194" s="7" t="inlineStr">
        <is>
          <t>Dr. Cho Thway Mon</t>
        </is>
      </c>
      <c r="D194" s="6" t="inlineStr"/>
      <c r="E194" s="6">
        <f>IF($D194="Custom","",IFERROR(XLOOKUP($B194&amp;"|"&amp;$D194,ShiftKnowledge!$A$2:$A$9,ShiftKnowledge!$D$2:$D$9,""),IFERROR(INDEX(ShiftKnowledge!$D$2:$D$9,MATCH($B194&amp;"|"&amp;$D194,ShiftKnowledge!$A$2:$A$9,0)),"")))</f>
        <v/>
      </c>
      <c r="F194" s="6" t="inlineStr"/>
      <c r="G194" s="6">
        <f>IF(AND($I194="",$L194=""),"",IFERROR(VALUE($I194),0)+IFERROR(VALUE($L194),0))</f>
        <v/>
      </c>
      <c r="H194" s="6">
        <f>IF($D194="Custom","",IFERROR(XLOOKUP($B194&amp;"|"&amp;$D194,ShiftKnowledge!$A$2:$A$9,ShiftKnowledge!$E$2:$E$9,""),IFERROR(INDEX(ShiftKnowledge!$E$2:$E$9,MATCH($B194&amp;"|"&amp;$D194,ShiftKnowledge!$A$2:$A$9,0)),"")))</f>
        <v/>
      </c>
      <c r="I194" s="6">
        <f>IF($D194="Custom","",IFERROR(XLOOKUP($B194&amp;"|"&amp;$D194,ShiftKnowledge!$A$2:$A$9,ShiftKnowledge!$F$2:$F$9,""),IFERROR(INDEX(ShiftKnowledge!$F$2:$F$9,MATCH($B194&amp;"|"&amp;$D194,ShiftKnowledge!$A$2:$A$9,0)),"")))</f>
        <v/>
      </c>
      <c r="J194" s="6">
        <f>IF($D194="Custom","",IFERROR(XLOOKUP($B194&amp;"|"&amp;$D194,ShiftKnowledge!$A$2:$A$9,ShiftKnowledge!$G$2:$G$9,""),IFERROR(INDEX(ShiftKnowledge!$G$2:$G$9,MATCH($B194&amp;"|"&amp;$D194,ShiftKnowledge!$A$2:$A$9,0)),"")))</f>
        <v/>
      </c>
      <c r="K194" s="6">
        <f>IF($D194="Custom","",IFERROR(XLOOKUP($B194&amp;"|"&amp;$D194,ShiftKnowledge!$A$2:$A$9,ShiftKnowledge!$H$2:$H$9,""),IFERROR(INDEX(ShiftKnowledge!$H$2:$H$9,MATCH($B194&amp;"|"&amp;$D194,ShiftKnowledge!$A$2:$A$9,0)),"")))</f>
        <v/>
      </c>
      <c r="L194" s="6">
        <f>IF($D194="Custom","",IFERROR(XLOOKUP($B194&amp;"|"&amp;$D194,ShiftKnowledge!$A$2:$A$9,ShiftKnowledge!$I$2:$I$9,""),IFERROR(INDEX(ShiftKnowledge!$I$2:$I$9,MATCH($B194&amp;"|"&amp;$D194,ShiftKnowledge!$A$2:$A$9,0)),"")))</f>
        <v/>
      </c>
      <c r="M194" s="6" t="inlineStr"/>
    </row>
    <row r="195" ht="20" customHeight="1">
      <c r="A195" s="4" t="inlineStr">
        <is>
          <t>12/11/2025</t>
        </is>
      </c>
      <c r="B195" s="4" t="inlineStr">
        <is>
          <t>Orthopaedics</t>
        </is>
      </c>
      <c r="C195" s="5" t="inlineStr">
        <is>
          <t>Dr. Dinesh Kumar Pandit</t>
        </is>
      </c>
      <c r="D195" s="4" t="inlineStr"/>
      <c r="E195" s="4">
        <f>IF($D195="Custom","",IFERROR(XLOOKUP($B195&amp;"|"&amp;$D195,ShiftKnowledge!$A$2:$A$9,ShiftKnowledge!$D$2:$D$9,""),IFERROR(INDEX(ShiftKnowledge!$D$2:$D$9,MATCH($B195&amp;"|"&amp;$D195,ShiftKnowledge!$A$2:$A$9,0)),"")))</f>
        <v/>
      </c>
      <c r="F195" s="4" t="inlineStr"/>
      <c r="G195" s="4">
        <f>IF(AND($I195="",$L195=""),"",IFERROR(VALUE($I195),0)+IFERROR(VALUE($L195),0))</f>
        <v/>
      </c>
      <c r="H195" s="4">
        <f>IF($D195="Custom","",IFERROR(XLOOKUP($B195&amp;"|"&amp;$D195,ShiftKnowledge!$A$2:$A$9,ShiftKnowledge!$E$2:$E$9,""),IFERROR(INDEX(ShiftKnowledge!$E$2:$E$9,MATCH($B195&amp;"|"&amp;$D195,ShiftKnowledge!$A$2:$A$9,0)),"")))</f>
        <v/>
      </c>
      <c r="I195" s="4">
        <f>IF($D195="Custom","",IFERROR(XLOOKUP($B195&amp;"|"&amp;$D195,ShiftKnowledge!$A$2:$A$9,ShiftKnowledge!$F$2:$F$9,""),IFERROR(INDEX(ShiftKnowledge!$F$2:$F$9,MATCH($B195&amp;"|"&amp;$D195,ShiftKnowledge!$A$2:$A$9,0)),"")))</f>
        <v/>
      </c>
      <c r="J195" s="4">
        <f>IF($D195="Custom","",IFERROR(XLOOKUP($B195&amp;"|"&amp;$D195,ShiftKnowledge!$A$2:$A$9,ShiftKnowledge!$G$2:$G$9,""),IFERROR(INDEX(ShiftKnowledge!$G$2:$G$9,MATCH($B195&amp;"|"&amp;$D195,ShiftKnowledge!$A$2:$A$9,0)),"")))</f>
        <v/>
      </c>
      <c r="K195" s="4">
        <f>IF($D195="Custom","",IFERROR(XLOOKUP($B195&amp;"|"&amp;$D195,ShiftKnowledge!$A$2:$A$9,ShiftKnowledge!$H$2:$H$9,""),IFERROR(INDEX(ShiftKnowledge!$H$2:$H$9,MATCH($B195&amp;"|"&amp;$D195,ShiftKnowledge!$A$2:$A$9,0)),"")))</f>
        <v/>
      </c>
      <c r="L195" s="4">
        <f>IF($D195="Custom","",IFERROR(XLOOKUP($B195&amp;"|"&amp;$D195,ShiftKnowledge!$A$2:$A$9,ShiftKnowledge!$I$2:$I$9,""),IFERROR(INDEX(ShiftKnowledge!$I$2:$I$9,MATCH($B195&amp;"|"&amp;$D195,ShiftKnowledge!$A$2:$A$9,0)),"")))</f>
        <v/>
      </c>
      <c r="M195" s="4" t="inlineStr"/>
    </row>
    <row r="196" ht="20" customHeight="1">
      <c r="A196" s="6" t="inlineStr">
        <is>
          <t>12/11/2025</t>
        </is>
      </c>
      <c r="B196" s="6" t="inlineStr">
        <is>
          <t>Internal Medicine</t>
        </is>
      </c>
      <c r="C196" s="7" t="inlineStr">
        <is>
          <t>Dr. Ei Shwe Yee Myint</t>
        </is>
      </c>
      <c r="D196" s="6" t="inlineStr"/>
      <c r="E196" s="6">
        <f>IF($D196="Custom","",IFERROR(XLOOKUP($B196&amp;"|"&amp;$D196,ShiftKnowledge!$A$2:$A$9,ShiftKnowledge!$D$2:$D$9,""),IFERROR(INDEX(ShiftKnowledge!$D$2:$D$9,MATCH($B196&amp;"|"&amp;$D196,ShiftKnowledge!$A$2:$A$9,0)),"")))</f>
        <v/>
      </c>
      <c r="F196" s="6" t="inlineStr"/>
      <c r="G196" s="6">
        <f>IF(AND($I196="",$L196=""),"",IFERROR(VALUE($I196),0)+IFERROR(VALUE($L196),0))</f>
        <v/>
      </c>
      <c r="H196" s="6">
        <f>IF($D196="Custom","",IFERROR(XLOOKUP($B196&amp;"|"&amp;$D196,ShiftKnowledge!$A$2:$A$9,ShiftKnowledge!$E$2:$E$9,""),IFERROR(INDEX(ShiftKnowledge!$E$2:$E$9,MATCH($B196&amp;"|"&amp;$D196,ShiftKnowledge!$A$2:$A$9,0)),"")))</f>
        <v/>
      </c>
      <c r="I196" s="6">
        <f>IF($D196="Custom","",IFERROR(XLOOKUP($B196&amp;"|"&amp;$D196,ShiftKnowledge!$A$2:$A$9,ShiftKnowledge!$F$2:$F$9,""),IFERROR(INDEX(ShiftKnowledge!$F$2:$F$9,MATCH($B196&amp;"|"&amp;$D196,ShiftKnowledge!$A$2:$A$9,0)),"")))</f>
        <v/>
      </c>
      <c r="J196" s="6">
        <f>IF($D196="Custom","",IFERROR(XLOOKUP($B196&amp;"|"&amp;$D196,ShiftKnowledge!$A$2:$A$9,ShiftKnowledge!$G$2:$G$9,""),IFERROR(INDEX(ShiftKnowledge!$G$2:$G$9,MATCH($B196&amp;"|"&amp;$D196,ShiftKnowledge!$A$2:$A$9,0)),"")))</f>
        <v/>
      </c>
      <c r="K196" s="6">
        <f>IF($D196="Custom","",IFERROR(XLOOKUP($B196&amp;"|"&amp;$D196,ShiftKnowledge!$A$2:$A$9,ShiftKnowledge!$H$2:$H$9,""),IFERROR(INDEX(ShiftKnowledge!$H$2:$H$9,MATCH($B196&amp;"|"&amp;$D196,ShiftKnowledge!$A$2:$A$9,0)),"")))</f>
        <v/>
      </c>
      <c r="L196" s="6">
        <f>IF($D196="Custom","",IFERROR(XLOOKUP($B196&amp;"|"&amp;$D196,ShiftKnowledge!$A$2:$A$9,ShiftKnowledge!$I$2:$I$9,""),IFERROR(INDEX(ShiftKnowledge!$I$2:$I$9,MATCH($B196&amp;"|"&amp;$D196,ShiftKnowledge!$A$2:$A$9,0)),"")))</f>
        <v/>
      </c>
      <c r="M196" s="6" t="inlineStr"/>
    </row>
    <row r="197" ht="20" customHeight="1">
      <c r="A197" s="4" t="inlineStr">
        <is>
          <t>12/11/2025</t>
        </is>
      </c>
      <c r="B197" s="4" t="inlineStr">
        <is>
          <t>Internal Medicine</t>
        </is>
      </c>
      <c r="C197" s="5" t="inlineStr">
        <is>
          <t>Dr. Hatem Hassan Mohamed Abdelhafez</t>
        </is>
      </c>
      <c r="D197" s="4" t="inlineStr"/>
      <c r="E197" s="4">
        <f>IF($D197="Custom","",IFERROR(XLOOKUP($B197&amp;"|"&amp;$D197,ShiftKnowledge!$A$2:$A$9,ShiftKnowledge!$D$2:$D$9,""),IFERROR(INDEX(ShiftKnowledge!$D$2:$D$9,MATCH($B197&amp;"|"&amp;$D197,ShiftKnowledge!$A$2:$A$9,0)),"")))</f>
        <v/>
      </c>
      <c r="F197" s="4" t="inlineStr"/>
      <c r="G197" s="4">
        <f>IF(AND($I197="",$L197=""),"",IFERROR(VALUE($I197),0)+IFERROR(VALUE($L197),0))</f>
        <v/>
      </c>
      <c r="H197" s="4">
        <f>IF($D197="Custom","",IFERROR(XLOOKUP($B197&amp;"|"&amp;$D197,ShiftKnowledge!$A$2:$A$9,ShiftKnowledge!$E$2:$E$9,""),IFERROR(INDEX(ShiftKnowledge!$E$2:$E$9,MATCH($B197&amp;"|"&amp;$D197,ShiftKnowledge!$A$2:$A$9,0)),"")))</f>
        <v/>
      </c>
      <c r="I197" s="4">
        <f>IF($D197="Custom","",IFERROR(XLOOKUP($B197&amp;"|"&amp;$D197,ShiftKnowledge!$A$2:$A$9,ShiftKnowledge!$F$2:$F$9,""),IFERROR(INDEX(ShiftKnowledge!$F$2:$F$9,MATCH($B197&amp;"|"&amp;$D197,ShiftKnowledge!$A$2:$A$9,0)),"")))</f>
        <v/>
      </c>
      <c r="J197" s="4">
        <f>IF($D197="Custom","",IFERROR(XLOOKUP($B197&amp;"|"&amp;$D197,ShiftKnowledge!$A$2:$A$9,ShiftKnowledge!$G$2:$G$9,""),IFERROR(INDEX(ShiftKnowledge!$G$2:$G$9,MATCH($B197&amp;"|"&amp;$D197,ShiftKnowledge!$A$2:$A$9,0)),"")))</f>
        <v/>
      </c>
      <c r="K197" s="4">
        <f>IF($D197="Custom","",IFERROR(XLOOKUP($B197&amp;"|"&amp;$D197,ShiftKnowledge!$A$2:$A$9,ShiftKnowledge!$H$2:$H$9,""),IFERROR(INDEX(ShiftKnowledge!$H$2:$H$9,MATCH($B197&amp;"|"&amp;$D197,ShiftKnowledge!$A$2:$A$9,0)),"")))</f>
        <v/>
      </c>
      <c r="L197" s="4">
        <f>IF($D197="Custom","",IFERROR(XLOOKUP($B197&amp;"|"&amp;$D197,ShiftKnowledge!$A$2:$A$9,ShiftKnowledge!$I$2:$I$9,""),IFERROR(INDEX(ShiftKnowledge!$I$2:$I$9,MATCH($B197&amp;"|"&amp;$D197,ShiftKnowledge!$A$2:$A$9,0)),"")))</f>
        <v/>
      </c>
      <c r="M197" s="4" t="inlineStr"/>
    </row>
    <row r="198" ht="20" customHeight="1">
      <c r="A198" s="6" t="inlineStr">
        <is>
          <t>12/11/2025</t>
        </is>
      </c>
      <c r="B198" s="6" t="inlineStr">
        <is>
          <t>Gynaecology</t>
        </is>
      </c>
      <c r="C198" s="7" t="inlineStr">
        <is>
          <t>Dr. Hawwa Inaya</t>
        </is>
      </c>
      <c r="D198" s="6" t="inlineStr"/>
      <c r="E198" s="6">
        <f>IF($D198="Custom","",IFERROR(XLOOKUP($B198&amp;"|"&amp;$D198,ShiftKnowledge!$A$2:$A$9,ShiftKnowledge!$D$2:$D$9,""),IFERROR(INDEX(ShiftKnowledge!$D$2:$D$9,MATCH($B198&amp;"|"&amp;$D198,ShiftKnowledge!$A$2:$A$9,0)),"")))</f>
        <v/>
      </c>
      <c r="F198" s="6" t="inlineStr"/>
      <c r="G198" s="6">
        <f>IF(AND($I198="",$L198=""),"",IFERROR(VALUE($I198),0)+IFERROR(VALUE($L198),0))</f>
        <v/>
      </c>
      <c r="H198" s="6">
        <f>IF($D198="Custom","",IFERROR(XLOOKUP($B198&amp;"|"&amp;$D198,ShiftKnowledge!$A$2:$A$9,ShiftKnowledge!$E$2:$E$9,""),IFERROR(INDEX(ShiftKnowledge!$E$2:$E$9,MATCH($B198&amp;"|"&amp;$D198,ShiftKnowledge!$A$2:$A$9,0)),"")))</f>
        <v/>
      </c>
      <c r="I198" s="6">
        <f>IF($D198="Custom","",IFERROR(XLOOKUP($B198&amp;"|"&amp;$D198,ShiftKnowledge!$A$2:$A$9,ShiftKnowledge!$F$2:$F$9,""),IFERROR(INDEX(ShiftKnowledge!$F$2:$F$9,MATCH($B198&amp;"|"&amp;$D198,ShiftKnowledge!$A$2:$A$9,0)),"")))</f>
        <v/>
      </c>
      <c r="J198" s="6">
        <f>IF($D198="Custom","",IFERROR(XLOOKUP($B198&amp;"|"&amp;$D198,ShiftKnowledge!$A$2:$A$9,ShiftKnowledge!$G$2:$G$9,""),IFERROR(INDEX(ShiftKnowledge!$G$2:$G$9,MATCH($B198&amp;"|"&amp;$D198,ShiftKnowledge!$A$2:$A$9,0)),"")))</f>
        <v/>
      </c>
      <c r="K198" s="6">
        <f>IF($D198="Custom","",IFERROR(XLOOKUP($B198&amp;"|"&amp;$D198,ShiftKnowledge!$A$2:$A$9,ShiftKnowledge!$H$2:$H$9,""),IFERROR(INDEX(ShiftKnowledge!$H$2:$H$9,MATCH($B198&amp;"|"&amp;$D198,ShiftKnowledge!$A$2:$A$9,0)),"")))</f>
        <v/>
      </c>
      <c r="L198" s="6">
        <f>IF($D198="Custom","",IFERROR(XLOOKUP($B198&amp;"|"&amp;$D198,ShiftKnowledge!$A$2:$A$9,ShiftKnowledge!$I$2:$I$9,""),IFERROR(INDEX(ShiftKnowledge!$I$2:$I$9,MATCH($B198&amp;"|"&amp;$D198,ShiftKnowledge!$A$2:$A$9,0)),"")))</f>
        <v/>
      </c>
      <c r="M198" s="6" t="inlineStr"/>
    </row>
    <row r="199" ht="20" customHeight="1">
      <c r="A199" s="4" t="inlineStr">
        <is>
          <t>12/11/2025</t>
        </is>
      </c>
      <c r="B199" s="4" t="inlineStr">
        <is>
          <t>Gynaecology</t>
        </is>
      </c>
      <c r="C199" s="5" t="inlineStr">
        <is>
          <t>Dr. Joshila Chanu Yumnam Bhattarai</t>
        </is>
      </c>
      <c r="D199" s="4" t="inlineStr"/>
      <c r="E199" s="4">
        <f>IF($D199="Custom","",IFERROR(XLOOKUP($B199&amp;"|"&amp;$D199,ShiftKnowledge!$A$2:$A$9,ShiftKnowledge!$D$2:$D$9,""),IFERROR(INDEX(ShiftKnowledge!$D$2:$D$9,MATCH($B199&amp;"|"&amp;$D199,ShiftKnowledge!$A$2:$A$9,0)),"")))</f>
        <v/>
      </c>
      <c r="F199" s="4" t="inlineStr"/>
      <c r="G199" s="4">
        <f>IF(AND($I199="",$L199=""),"",IFERROR(VALUE($I199),0)+IFERROR(VALUE($L199),0))</f>
        <v/>
      </c>
      <c r="H199" s="4">
        <f>IF($D199="Custom","",IFERROR(XLOOKUP($B199&amp;"|"&amp;$D199,ShiftKnowledge!$A$2:$A$9,ShiftKnowledge!$E$2:$E$9,""),IFERROR(INDEX(ShiftKnowledge!$E$2:$E$9,MATCH($B199&amp;"|"&amp;$D199,ShiftKnowledge!$A$2:$A$9,0)),"")))</f>
        <v/>
      </c>
      <c r="I199" s="4">
        <f>IF($D199="Custom","",IFERROR(XLOOKUP($B199&amp;"|"&amp;$D199,ShiftKnowledge!$A$2:$A$9,ShiftKnowledge!$F$2:$F$9,""),IFERROR(INDEX(ShiftKnowledge!$F$2:$F$9,MATCH($B199&amp;"|"&amp;$D199,ShiftKnowledge!$A$2:$A$9,0)),"")))</f>
        <v/>
      </c>
      <c r="J199" s="4">
        <f>IF($D199="Custom","",IFERROR(XLOOKUP($B199&amp;"|"&amp;$D199,ShiftKnowledge!$A$2:$A$9,ShiftKnowledge!$G$2:$G$9,""),IFERROR(INDEX(ShiftKnowledge!$G$2:$G$9,MATCH($B199&amp;"|"&amp;$D199,ShiftKnowledge!$A$2:$A$9,0)),"")))</f>
        <v/>
      </c>
      <c r="K199" s="4">
        <f>IF($D199="Custom","",IFERROR(XLOOKUP($B199&amp;"|"&amp;$D199,ShiftKnowledge!$A$2:$A$9,ShiftKnowledge!$H$2:$H$9,""),IFERROR(INDEX(ShiftKnowledge!$H$2:$H$9,MATCH($B199&amp;"|"&amp;$D199,ShiftKnowledge!$A$2:$A$9,0)),"")))</f>
        <v/>
      </c>
      <c r="L199" s="4">
        <f>IF($D199="Custom","",IFERROR(XLOOKUP($B199&amp;"|"&amp;$D199,ShiftKnowledge!$A$2:$A$9,ShiftKnowledge!$I$2:$I$9,""),IFERROR(INDEX(ShiftKnowledge!$I$2:$I$9,MATCH($B199&amp;"|"&amp;$D199,ShiftKnowledge!$A$2:$A$9,0)),"")))</f>
        <v/>
      </c>
      <c r="M199" s="4" t="inlineStr"/>
    </row>
    <row r="200" ht="20" customHeight="1">
      <c r="A200" s="6" t="inlineStr">
        <is>
          <t>12/11/2025</t>
        </is>
      </c>
      <c r="B200" s="6" t="inlineStr">
        <is>
          <t>Gynaecology</t>
        </is>
      </c>
      <c r="C200" s="7" t="inlineStr">
        <is>
          <t>Dr. Jumailath Beygum</t>
        </is>
      </c>
      <c r="D200" s="6" t="inlineStr"/>
      <c r="E200" s="6">
        <f>IF($D200="Custom","",IFERROR(XLOOKUP($B200&amp;"|"&amp;$D200,ShiftKnowledge!$A$2:$A$9,ShiftKnowledge!$D$2:$D$9,""),IFERROR(INDEX(ShiftKnowledge!$D$2:$D$9,MATCH($B200&amp;"|"&amp;$D200,ShiftKnowledge!$A$2:$A$9,0)),"")))</f>
        <v/>
      </c>
      <c r="F200" s="6" t="inlineStr"/>
      <c r="G200" s="6">
        <f>IF(AND($I200="",$L200=""),"",IFERROR(VALUE($I200),0)+IFERROR(VALUE($L200),0))</f>
        <v/>
      </c>
      <c r="H200" s="6">
        <f>IF($D200="Custom","",IFERROR(XLOOKUP($B200&amp;"|"&amp;$D200,ShiftKnowledge!$A$2:$A$9,ShiftKnowledge!$E$2:$E$9,""),IFERROR(INDEX(ShiftKnowledge!$E$2:$E$9,MATCH($B200&amp;"|"&amp;$D200,ShiftKnowledge!$A$2:$A$9,0)),"")))</f>
        <v/>
      </c>
      <c r="I200" s="6">
        <f>IF($D200="Custom","",IFERROR(XLOOKUP($B200&amp;"|"&amp;$D200,ShiftKnowledge!$A$2:$A$9,ShiftKnowledge!$F$2:$F$9,""),IFERROR(INDEX(ShiftKnowledge!$F$2:$F$9,MATCH($B200&amp;"|"&amp;$D200,ShiftKnowledge!$A$2:$A$9,0)),"")))</f>
        <v/>
      </c>
      <c r="J200" s="6">
        <f>IF($D200="Custom","",IFERROR(XLOOKUP($B200&amp;"|"&amp;$D200,ShiftKnowledge!$A$2:$A$9,ShiftKnowledge!$G$2:$G$9,""),IFERROR(INDEX(ShiftKnowledge!$G$2:$G$9,MATCH($B200&amp;"|"&amp;$D200,ShiftKnowledge!$A$2:$A$9,0)),"")))</f>
        <v/>
      </c>
      <c r="K200" s="6">
        <f>IF($D200="Custom","",IFERROR(XLOOKUP($B200&amp;"|"&amp;$D200,ShiftKnowledge!$A$2:$A$9,ShiftKnowledge!$H$2:$H$9,""),IFERROR(INDEX(ShiftKnowledge!$H$2:$H$9,MATCH($B200&amp;"|"&amp;$D200,ShiftKnowledge!$A$2:$A$9,0)),"")))</f>
        <v/>
      </c>
      <c r="L200" s="6">
        <f>IF($D200="Custom","",IFERROR(XLOOKUP($B200&amp;"|"&amp;$D200,ShiftKnowledge!$A$2:$A$9,ShiftKnowledge!$I$2:$I$9,""),IFERROR(INDEX(ShiftKnowledge!$I$2:$I$9,MATCH($B200&amp;"|"&amp;$D200,ShiftKnowledge!$A$2:$A$9,0)),"")))</f>
        <v/>
      </c>
      <c r="M200" s="6" t="inlineStr"/>
    </row>
    <row r="201" ht="20" customHeight="1">
      <c r="A201" s="4" t="inlineStr">
        <is>
          <t>12/11/2025</t>
        </is>
      </c>
      <c r="B201" s="4" t="inlineStr">
        <is>
          <t>General Surgery</t>
        </is>
      </c>
      <c r="C201" s="5" t="inlineStr">
        <is>
          <t>Dr. Khine Su Kyi</t>
        </is>
      </c>
      <c r="D201" s="4" t="inlineStr"/>
      <c r="E201" s="4">
        <f>IF($D201="Custom","",IFERROR(XLOOKUP($B201&amp;"|"&amp;$D201,ShiftKnowledge!$A$2:$A$9,ShiftKnowledge!$D$2:$D$9,""),IFERROR(INDEX(ShiftKnowledge!$D$2:$D$9,MATCH($B201&amp;"|"&amp;$D201,ShiftKnowledge!$A$2:$A$9,0)),"")))</f>
        <v/>
      </c>
      <c r="F201" s="4" t="inlineStr"/>
      <c r="G201" s="4">
        <f>IF(AND($I201="",$L201=""),"",IFERROR(VALUE($I201),0)+IFERROR(VALUE($L201),0))</f>
        <v/>
      </c>
      <c r="H201" s="4">
        <f>IF($D201="Custom","",IFERROR(XLOOKUP($B201&amp;"|"&amp;$D201,ShiftKnowledge!$A$2:$A$9,ShiftKnowledge!$E$2:$E$9,""),IFERROR(INDEX(ShiftKnowledge!$E$2:$E$9,MATCH($B201&amp;"|"&amp;$D201,ShiftKnowledge!$A$2:$A$9,0)),"")))</f>
        <v/>
      </c>
      <c r="I201" s="4">
        <f>IF($D201="Custom","",IFERROR(XLOOKUP($B201&amp;"|"&amp;$D201,ShiftKnowledge!$A$2:$A$9,ShiftKnowledge!$F$2:$F$9,""),IFERROR(INDEX(ShiftKnowledge!$F$2:$F$9,MATCH($B201&amp;"|"&amp;$D201,ShiftKnowledge!$A$2:$A$9,0)),"")))</f>
        <v/>
      </c>
      <c r="J201" s="4">
        <f>IF($D201="Custom","",IFERROR(XLOOKUP($B201&amp;"|"&amp;$D201,ShiftKnowledge!$A$2:$A$9,ShiftKnowledge!$G$2:$G$9,""),IFERROR(INDEX(ShiftKnowledge!$G$2:$G$9,MATCH($B201&amp;"|"&amp;$D201,ShiftKnowledge!$A$2:$A$9,0)),"")))</f>
        <v/>
      </c>
      <c r="K201" s="4">
        <f>IF($D201="Custom","",IFERROR(XLOOKUP($B201&amp;"|"&amp;$D201,ShiftKnowledge!$A$2:$A$9,ShiftKnowledge!$H$2:$H$9,""),IFERROR(INDEX(ShiftKnowledge!$H$2:$H$9,MATCH($B201&amp;"|"&amp;$D201,ShiftKnowledge!$A$2:$A$9,0)),"")))</f>
        <v/>
      </c>
      <c r="L201" s="4">
        <f>IF($D201="Custom","",IFERROR(XLOOKUP($B201&amp;"|"&amp;$D201,ShiftKnowledge!$A$2:$A$9,ShiftKnowledge!$I$2:$I$9,""),IFERROR(INDEX(ShiftKnowledge!$I$2:$I$9,MATCH($B201&amp;"|"&amp;$D201,ShiftKnowledge!$A$2:$A$9,0)),"")))</f>
        <v/>
      </c>
      <c r="M201" s="4" t="inlineStr"/>
    </row>
    <row r="202" ht="20" customHeight="1">
      <c r="A202" s="6" t="inlineStr">
        <is>
          <t>12/11/2025</t>
        </is>
      </c>
      <c r="B202" s="6" t="inlineStr">
        <is>
          <t>Dental</t>
        </is>
      </c>
      <c r="C202" s="7" t="inlineStr">
        <is>
          <t>Dr. Mariyam Afza Zuhair</t>
        </is>
      </c>
      <c r="D202" s="6" t="inlineStr"/>
      <c r="E202" s="6">
        <f>IF($D202="Custom","",IFERROR(XLOOKUP($B202&amp;"|"&amp;$D202,ShiftKnowledge!$A$2:$A$9,ShiftKnowledge!$D$2:$D$9,""),IFERROR(INDEX(ShiftKnowledge!$D$2:$D$9,MATCH($B202&amp;"|"&amp;$D202,ShiftKnowledge!$A$2:$A$9,0)),"")))</f>
        <v/>
      </c>
      <c r="F202" s="6" t="inlineStr"/>
      <c r="G202" s="6">
        <f>IF(AND($I202="",$L202=""),"",IFERROR(VALUE($I202),0)+IFERROR(VALUE($L202),0))</f>
        <v/>
      </c>
      <c r="H202" s="6">
        <f>IF($D202="Custom","",IFERROR(XLOOKUP($B202&amp;"|"&amp;$D202,ShiftKnowledge!$A$2:$A$9,ShiftKnowledge!$E$2:$E$9,""),IFERROR(INDEX(ShiftKnowledge!$E$2:$E$9,MATCH($B202&amp;"|"&amp;$D202,ShiftKnowledge!$A$2:$A$9,0)),"")))</f>
        <v/>
      </c>
      <c r="I202" s="6">
        <f>IF($D202="Custom","",IFERROR(XLOOKUP($B202&amp;"|"&amp;$D202,ShiftKnowledge!$A$2:$A$9,ShiftKnowledge!$F$2:$F$9,""),IFERROR(INDEX(ShiftKnowledge!$F$2:$F$9,MATCH($B202&amp;"|"&amp;$D202,ShiftKnowledge!$A$2:$A$9,0)),"")))</f>
        <v/>
      </c>
      <c r="J202" s="6">
        <f>IF($D202="Custom","",IFERROR(XLOOKUP($B202&amp;"|"&amp;$D202,ShiftKnowledge!$A$2:$A$9,ShiftKnowledge!$G$2:$G$9,""),IFERROR(INDEX(ShiftKnowledge!$G$2:$G$9,MATCH($B202&amp;"|"&amp;$D202,ShiftKnowledge!$A$2:$A$9,0)),"")))</f>
        <v/>
      </c>
      <c r="K202" s="6">
        <f>IF($D202="Custom","",IFERROR(XLOOKUP($B202&amp;"|"&amp;$D202,ShiftKnowledge!$A$2:$A$9,ShiftKnowledge!$H$2:$H$9,""),IFERROR(INDEX(ShiftKnowledge!$H$2:$H$9,MATCH($B202&amp;"|"&amp;$D202,ShiftKnowledge!$A$2:$A$9,0)),"")))</f>
        <v/>
      </c>
      <c r="L202" s="6">
        <f>IF($D202="Custom","",IFERROR(XLOOKUP($B202&amp;"|"&amp;$D202,ShiftKnowledge!$A$2:$A$9,ShiftKnowledge!$I$2:$I$9,""),IFERROR(INDEX(ShiftKnowledge!$I$2:$I$9,MATCH($B202&amp;"|"&amp;$D202,ShiftKnowledge!$A$2:$A$9,0)),"")))</f>
        <v/>
      </c>
      <c r="M202" s="6" t="inlineStr"/>
    </row>
    <row r="203" ht="20" customHeight="1">
      <c r="A203" s="4" t="inlineStr">
        <is>
          <t>12/11/2025</t>
        </is>
      </c>
      <c r="B203" s="4" t="inlineStr">
        <is>
          <t>Psychiatry</t>
        </is>
      </c>
      <c r="C203" s="5" t="inlineStr">
        <is>
          <t>Dr. Maumoon Shareef</t>
        </is>
      </c>
      <c r="D203" s="4" t="inlineStr"/>
      <c r="E203" s="4">
        <f>IF($D203="Custom","",IFERROR(XLOOKUP($B203&amp;"|"&amp;$D203,ShiftKnowledge!$A$2:$A$9,ShiftKnowledge!$D$2:$D$9,""),IFERROR(INDEX(ShiftKnowledge!$D$2:$D$9,MATCH($B203&amp;"|"&amp;$D203,ShiftKnowledge!$A$2:$A$9,0)),"")))</f>
        <v/>
      </c>
      <c r="F203" s="4" t="inlineStr"/>
      <c r="G203" s="4">
        <f>IF(AND($I203="",$L203=""),"",IFERROR(VALUE($I203),0)+IFERROR(VALUE($L203),0))</f>
        <v/>
      </c>
      <c r="H203" s="4">
        <f>IF($D203="Custom","",IFERROR(XLOOKUP($B203&amp;"|"&amp;$D203,ShiftKnowledge!$A$2:$A$9,ShiftKnowledge!$E$2:$E$9,""),IFERROR(INDEX(ShiftKnowledge!$E$2:$E$9,MATCH($B203&amp;"|"&amp;$D203,ShiftKnowledge!$A$2:$A$9,0)),"")))</f>
        <v/>
      </c>
      <c r="I203" s="4">
        <f>IF($D203="Custom","",IFERROR(XLOOKUP($B203&amp;"|"&amp;$D203,ShiftKnowledge!$A$2:$A$9,ShiftKnowledge!$F$2:$F$9,""),IFERROR(INDEX(ShiftKnowledge!$F$2:$F$9,MATCH($B203&amp;"|"&amp;$D203,ShiftKnowledge!$A$2:$A$9,0)),"")))</f>
        <v/>
      </c>
      <c r="J203" s="4">
        <f>IF($D203="Custom","",IFERROR(XLOOKUP($B203&amp;"|"&amp;$D203,ShiftKnowledge!$A$2:$A$9,ShiftKnowledge!$G$2:$G$9,""),IFERROR(INDEX(ShiftKnowledge!$G$2:$G$9,MATCH($B203&amp;"|"&amp;$D203,ShiftKnowledge!$A$2:$A$9,0)),"")))</f>
        <v/>
      </c>
      <c r="K203" s="4">
        <f>IF($D203="Custom","",IFERROR(XLOOKUP($B203&amp;"|"&amp;$D203,ShiftKnowledge!$A$2:$A$9,ShiftKnowledge!$H$2:$H$9,""),IFERROR(INDEX(ShiftKnowledge!$H$2:$H$9,MATCH($B203&amp;"|"&amp;$D203,ShiftKnowledge!$A$2:$A$9,0)),"")))</f>
        <v/>
      </c>
      <c r="L203" s="4">
        <f>IF($D203="Custom","",IFERROR(XLOOKUP($B203&amp;"|"&amp;$D203,ShiftKnowledge!$A$2:$A$9,ShiftKnowledge!$I$2:$I$9,""),IFERROR(INDEX(ShiftKnowledge!$I$2:$I$9,MATCH($B203&amp;"|"&amp;$D203,ShiftKnowledge!$A$2:$A$9,0)),"")))</f>
        <v/>
      </c>
      <c r="M203" s="4" t="inlineStr"/>
    </row>
    <row r="204" ht="20" customHeight="1">
      <c r="A204" s="6" t="inlineStr">
        <is>
          <t>12/11/2025</t>
        </is>
      </c>
      <c r="B204" s="6" t="inlineStr">
        <is>
          <t>Internal Medicine</t>
        </is>
      </c>
      <c r="C204" s="7" t="inlineStr">
        <is>
          <t>Dr. Mihuna Ibrahim</t>
        </is>
      </c>
      <c r="D204" s="6" t="inlineStr"/>
      <c r="E204" s="6">
        <f>IF($D204="Custom","",IFERROR(XLOOKUP($B204&amp;"|"&amp;$D204,ShiftKnowledge!$A$2:$A$9,ShiftKnowledge!$D$2:$D$9,""),IFERROR(INDEX(ShiftKnowledge!$D$2:$D$9,MATCH($B204&amp;"|"&amp;$D204,ShiftKnowledge!$A$2:$A$9,0)),"")))</f>
        <v/>
      </c>
      <c r="F204" s="6" t="inlineStr"/>
      <c r="G204" s="6">
        <f>IF(AND($I204="",$L204=""),"",IFERROR(VALUE($I204),0)+IFERROR(VALUE($L204),0))</f>
        <v/>
      </c>
      <c r="H204" s="6">
        <f>IF($D204="Custom","",IFERROR(XLOOKUP($B204&amp;"|"&amp;$D204,ShiftKnowledge!$A$2:$A$9,ShiftKnowledge!$E$2:$E$9,""),IFERROR(INDEX(ShiftKnowledge!$E$2:$E$9,MATCH($B204&amp;"|"&amp;$D204,ShiftKnowledge!$A$2:$A$9,0)),"")))</f>
        <v/>
      </c>
      <c r="I204" s="6">
        <f>IF($D204="Custom","",IFERROR(XLOOKUP($B204&amp;"|"&amp;$D204,ShiftKnowledge!$A$2:$A$9,ShiftKnowledge!$F$2:$F$9,""),IFERROR(INDEX(ShiftKnowledge!$F$2:$F$9,MATCH($B204&amp;"|"&amp;$D204,ShiftKnowledge!$A$2:$A$9,0)),"")))</f>
        <v/>
      </c>
      <c r="J204" s="6">
        <f>IF($D204="Custom","",IFERROR(XLOOKUP($B204&amp;"|"&amp;$D204,ShiftKnowledge!$A$2:$A$9,ShiftKnowledge!$G$2:$G$9,""),IFERROR(INDEX(ShiftKnowledge!$G$2:$G$9,MATCH($B204&amp;"|"&amp;$D204,ShiftKnowledge!$A$2:$A$9,0)),"")))</f>
        <v/>
      </c>
      <c r="K204" s="6">
        <f>IF($D204="Custom","",IFERROR(XLOOKUP($B204&amp;"|"&amp;$D204,ShiftKnowledge!$A$2:$A$9,ShiftKnowledge!$H$2:$H$9,""),IFERROR(INDEX(ShiftKnowledge!$H$2:$H$9,MATCH($B204&amp;"|"&amp;$D204,ShiftKnowledge!$A$2:$A$9,0)),"")))</f>
        <v/>
      </c>
      <c r="L204" s="6">
        <f>IF($D204="Custom","",IFERROR(XLOOKUP($B204&amp;"|"&amp;$D204,ShiftKnowledge!$A$2:$A$9,ShiftKnowledge!$I$2:$I$9,""),IFERROR(INDEX(ShiftKnowledge!$I$2:$I$9,MATCH($B204&amp;"|"&amp;$D204,ShiftKnowledge!$A$2:$A$9,0)),"")))</f>
        <v/>
      </c>
      <c r="M204" s="6" t="inlineStr"/>
    </row>
    <row r="205" ht="20" customHeight="1">
      <c r="A205" s="4" t="inlineStr">
        <is>
          <t>12/11/2025</t>
        </is>
      </c>
      <c r="B205" s="4" t="inlineStr">
        <is>
          <t>Endocrinology</t>
        </is>
      </c>
      <c r="C205" s="5" t="inlineStr">
        <is>
          <t>Dr. Mohamed Wisham</t>
        </is>
      </c>
      <c r="D205" s="4" t="inlineStr"/>
      <c r="E205" s="4">
        <f>IF($D205="Custom","",IFERROR(XLOOKUP($B205&amp;"|"&amp;$D205,ShiftKnowledge!$A$2:$A$9,ShiftKnowledge!$D$2:$D$9,""),IFERROR(INDEX(ShiftKnowledge!$D$2:$D$9,MATCH($B205&amp;"|"&amp;$D205,ShiftKnowledge!$A$2:$A$9,0)),"")))</f>
        <v/>
      </c>
      <c r="F205" s="4" t="inlineStr"/>
      <c r="G205" s="4">
        <f>IF(AND($I205="",$L205=""),"",IFERROR(VALUE($I205),0)+IFERROR(VALUE($L205),0))</f>
        <v/>
      </c>
      <c r="H205" s="4">
        <f>IF($D205="Custom","",IFERROR(XLOOKUP($B205&amp;"|"&amp;$D205,ShiftKnowledge!$A$2:$A$9,ShiftKnowledge!$E$2:$E$9,""),IFERROR(INDEX(ShiftKnowledge!$E$2:$E$9,MATCH($B205&amp;"|"&amp;$D205,ShiftKnowledge!$A$2:$A$9,0)),"")))</f>
        <v/>
      </c>
      <c r="I205" s="4">
        <f>IF($D205="Custom","",IFERROR(XLOOKUP($B205&amp;"|"&amp;$D205,ShiftKnowledge!$A$2:$A$9,ShiftKnowledge!$F$2:$F$9,""),IFERROR(INDEX(ShiftKnowledge!$F$2:$F$9,MATCH($B205&amp;"|"&amp;$D205,ShiftKnowledge!$A$2:$A$9,0)),"")))</f>
        <v/>
      </c>
      <c r="J205" s="4">
        <f>IF($D205="Custom","",IFERROR(XLOOKUP($B205&amp;"|"&amp;$D205,ShiftKnowledge!$A$2:$A$9,ShiftKnowledge!$G$2:$G$9,""),IFERROR(INDEX(ShiftKnowledge!$G$2:$G$9,MATCH($B205&amp;"|"&amp;$D205,ShiftKnowledge!$A$2:$A$9,0)),"")))</f>
        <v/>
      </c>
      <c r="K205" s="4">
        <f>IF($D205="Custom","",IFERROR(XLOOKUP($B205&amp;"|"&amp;$D205,ShiftKnowledge!$A$2:$A$9,ShiftKnowledge!$H$2:$H$9,""),IFERROR(INDEX(ShiftKnowledge!$H$2:$H$9,MATCH($B205&amp;"|"&amp;$D205,ShiftKnowledge!$A$2:$A$9,0)),"")))</f>
        <v/>
      </c>
      <c r="L205" s="4">
        <f>IF($D205="Custom","",IFERROR(XLOOKUP($B205&amp;"|"&amp;$D205,ShiftKnowledge!$A$2:$A$9,ShiftKnowledge!$I$2:$I$9,""),IFERROR(INDEX(ShiftKnowledge!$I$2:$I$9,MATCH($B205&amp;"|"&amp;$D205,ShiftKnowledge!$A$2:$A$9,0)),"")))</f>
        <v/>
      </c>
      <c r="M205" s="4" t="inlineStr"/>
    </row>
    <row r="206" ht="20" customHeight="1">
      <c r="A206" s="6" t="inlineStr">
        <is>
          <t>12/11/2025</t>
        </is>
      </c>
      <c r="B206" s="6" t="inlineStr">
        <is>
          <t>Cardiology</t>
        </is>
      </c>
      <c r="C206" s="7" t="inlineStr">
        <is>
          <t>Dr. Moosa Manik</t>
        </is>
      </c>
      <c r="D206" s="6" t="inlineStr"/>
      <c r="E206" s="6">
        <f>IF($D206="Custom","",IFERROR(XLOOKUP($B206&amp;"|"&amp;$D206,ShiftKnowledge!$A$2:$A$9,ShiftKnowledge!$D$2:$D$9,""),IFERROR(INDEX(ShiftKnowledge!$D$2:$D$9,MATCH($B206&amp;"|"&amp;$D206,ShiftKnowledge!$A$2:$A$9,0)),"")))</f>
        <v/>
      </c>
      <c r="F206" s="6" t="inlineStr"/>
      <c r="G206" s="6">
        <f>IF(AND($I206="",$L206=""),"",IFERROR(VALUE($I206),0)+IFERROR(VALUE($L206),0))</f>
        <v/>
      </c>
      <c r="H206" s="6">
        <f>IF($D206="Custom","",IFERROR(XLOOKUP($B206&amp;"|"&amp;$D206,ShiftKnowledge!$A$2:$A$9,ShiftKnowledge!$E$2:$E$9,""),IFERROR(INDEX(ShiftKnowledge!$E$2:$E$9,MATCH($B206&amp;"|"&amp;$D206,ShiftKnowledge!$A$2:$A$9,0)),"")))</f>
        <v/>
      </c>
      <c r="I206" s="6">
        <f>IF($D206="Custom","",IFERROR(XLOOKUP($B206&amp;"|"&amp;$D206,ShiftKnowledge!$A$2:$A$9,ShiftKnowledge!$F$2:$F$9,""),IFERROR(INDEX(ShiftKnowledge!$F$2:$F$9,MATCH($B206&amp;"|"&amp;$D206,ShiftKnowledge!$A$2:$A$9,0)),"")))</f>
        <v/>
      </c>
      <c r="J206" s="6">
        <f>IF($D206="Custom","",IFERROR(XLOOKUP($B206&amp;"|"&amp;$D206,ShiftKnowledge!$A$2:$A$9,ShiftKnowledge!$G$2:$G$9,""),IFERROR(INDEX(ShiftKnowledge!$G$2:$G$9,MATCH($B206&amp;"|"&amp;$D206,ShiftKnowledge!$A$2:$A$9,0)),"")))</f>
        <v/>
      </c>
      <c r="K206" s="6">
        <f>IF($D206="Custom","",IFERROR(XLOOKUP($B206&amp;"|"&amp;$D206,ShiftKnowledge!$A$2:$A$9,ShiftKnowledge!$H$2:$H$9,""),IFERROR(INDEX(ShiftKnowledge!$H$2:$H$9,MATCH($B206&amp;"|"&amp;$D206,ShiftKnowledge!$A$2:$A$9,0)),"")))</f>
        <v/>
      </c>
      <c r="L206" s="6">
        <f>IF($D206="Custom","",IFERROR(XLOOKUP($B206&amp;"|"&amp;$D206,ShiftKnowledge!$A$2:$A$9,ShiftKnowledge!$I$2:$I$9,""),IFERROR(INDEX(ShiftKnowledge!$I$2:$I$9,MATCH($B206&amp;"|"&amp;$D206,ShiftKnowledge!$A$2:$A$9,0)),"")))</f>
        <v/>
      </c>
      <c r="M206" s="6" t="inlineStr"/>
    </row>
    <row r="207" ht="20" customHeight="1">
      <c r="A207" s="4" t="inlineStr">
        <is>
          <t>12/11/2025</t>
        </is>
      </c>
      <c r="B207" s="4" t="inlineStr">
        <is>
          <t>Nephrology</t>
        </is>
      </c>
      <c r="C207" s="5" t="inlineStr">
        <is>
          <t>Dr. Muhammad Mujtaba Ur Rehman</t>
        </is>
      </c>
      <c r="D207" s="4" t="inlineStr"/>
      <c r="E207" s="4">
        <f>IF($D207="Custom","",IFERROR(XLOOKUP($B207&amp;"|"&amp;$D207,ShiftKnowledge!$A$2:$A$9,ShiftKnowledge!$D$2:$D$9,""),IFERROR(INDEX(ShiftKnowledge!$D$2:$D$9,MATCH($B207&amp;"|"&amp;$D207,ShiftKnowledge!$A$2:$A$9,0)),"")))</f>
        <v/>
      </c>
      <c r="F207" s="4" t="inlineStr"/>
      <c r="G207" s="4">
        <f>IF(AND($I207="",$L207=""),"",IFERROR(VALUE($I207),0)+IFERROR(VALUE($L207),0))</f>
        <v/>
      </c>
      <c r="H207" s="4">
        <f>IF($D207="Custom","",IFERROR(XLOOKUP($B207&amp;"|"&amp;$D207,ShiftKnowledge!$A$2:$A$9,ShiftKnowledge!$E$2:$E$9,""),IFERROR(INDEX(ShiftKnowledge!$E$2:$E$9,MATCH($B207&amp;"|"&amp;$D207,ShiftKnowledge!$A$2:$A$9,0)),"")))</f>
        <v/>
      </c>
      <c r="I207" s="4">
        <f>IF($D207="Custom","",IFERROR(XLOOKUP($B207&amp;"|"&amp;$D207,ShiftKnowledge!$A$2:$A$9,ShiftKnowledge!$F$2:$F$9,""),IFERROR(INDEX(ShiftKnowledge!$F$2:$F$9,MATCH($B207&amp;"|"&amp;$D207,ShiftKnowledge!$A$2:$A$9,0)),"")))</f>
        <v/>
      </c>
      <c r="J207" s="4">
        <f>IF($D207="Custom","",IFERROR(XLOOKUP($B207&amp;"|"&amp;$D207,ShiftKnowledge!$A$2:$A$9,ShiftKnowledge!$G$2:$G$9,""),IFERROR(INDEX(ShiftKnowledge!$G$2:$G$9,MATCH($B207&amp;"|"&amp;$D207,ShiftKnowledge!$A$2:$A$9,0)),"")))</f>
        <v/>
      </c>
      <c r="K207" s="4">
        <f>IF($D207="Custom","",IFERROR(XLOOKUP($B207&amp;"|"&amp;$D207,ShiftKnowledge!$A$2:$A$9,ShiftKnowledge!$H$2:$H$9,""),IFERROR(INDEX(ShiftKnowledge!$H$2:$H$9,MATCH($B207&amp;"|"&amp;$D207,ShiftKnowledge!$A$2:$A$9,0)),"")))</f>
        <v/>
      </c>
      <c r="L207" s="4">
        <f>IF($D207="Custom","",IFERROR(XLOOKUP($B207&amp;"|"&amp;$D207,ShiftKnowledge!$A$2:$A$9,ShiftKnowledge!$I$2:$I$9,""),IFERROR(INDEX(ShiftKnowledge!$I$2:$I$9,MATCH($B207&amp;"|"&amp;$D207,ShiftKnowledge!$A$2:$A$9,0)),"")))</f>
        <v/>
      </c>
      <c r="M207" s="4" t="inlineStr"/>
    </row>
    <row r="208" ht="20" customHeight="1">
      <c r="A208" s="6" t="inlineStr">
        <is>
          <t>12/11/2025</t>
        </is>
      </c>
      <c r="B208" s="6" t="inlineStr">
        <is>
          <t>Ophthalmology</t>
        </is>
      </c>
      <c r="C208" s="7" t="inlineStr">
        <is>
          <t>Dr. Nafeesa Abdul Latheef</t>
        </is>
      </c>
      <c r="D208" s="6" t="inlineStr"/>
      <c r="E208" s="6">
        <f>IF($D208="Custom","",IFERROR(XLOOKUP($B208&amp;"|"&amp;$D208,ShiftKnowledge!$A$2:$A$9,ShiftKnowledge!$D$2:$D$9,""),IFERROR(INDEX(ShiftKnowledge!$D$2:$D$9,MATCH($B208&amp;"|"&amp;$D208,ShiftKnowledge!$A$2:$A$9,0)),"")))</f>
        <v/>
      </c>
      <c r="F208" s="6" t="inlineStr"/>
      <c r="G208" s="6">
        <f>IF(AND($I208="",$L208=""),"",IFERROR(VALUE($I208),0)+IFERROR(VALUE($L208),0))</f>
        <v/>
      </c>
      <c r="H208" s="6">
        <f>IF($D208="Custom","",IFERROR(XLOOKUP($B208&amp;"|"&amp;$D208,ShiftKnowledge!$A$2:$A$9,ShiftKnowledge!$E$2:$E$9,""),IFERROR(INDEX(ShiftKnowledge!$E$2:$E$9,MATCH($B208&amp;"|"&amp;$D208,ShiftKnowledge!$A$2:$A$9,0)),"")))</f>
        <v/>
      </c>
      <c r="I208" s="6">
        <f>IF($D208="Custom","",IFERROR(XLOOKUP($B208&amp;"|"&amp;$D208,ShiftKnowledge!$A$2:$A$9,ShiftKnowledge!$F$2:$F$9,""),IFERROR(INDEX(ShiftKnowledge!$F$2:$F$9,MATCH($B208&amp;"|"&amp;$D208,ShiftKnowledge!$A$2:$A$9,0)),"")))</f>
        <v/>
      </c>
      <c r="J208" s="6">
        <f>IF($D208="Custom","",IFERROR(XLOOKUP($B208&amp;"|"&amp;$D208,ShiftKnowledge!$A$2:$A$9,ShiftKnowledge!$G$2:$G$9,""),IFERROR(INDEX(ShiftKnowledge!$G$2:$G$9,MATCH($B208&amp;"|"&amp;$D208,ShiftKnowledge!$A$2:$A$9,0)),"")))</f>
        <v/>
      </c>
      <c r="K208" s="6">
        <f>IF($D208="Custom","",IFERROR(XLOOKUP($B208&amp;"|"&amp;$D208,ShiftKnowledge!$A$2:$A$9,ShiftKnowledge!$H$2:$H$9,""),IFERROR(INDEX(ShiftKnowledge!$H$2:$H$9,MATCH($B208&amp;"|"&amp;$D208,ShiftKnowledge!$A$2:$A$9,0)),"")))</f>
        <v/>
      </c>
      <c r="L208" s="6">
        <f>IF($D208="Custom","",IFERROR(XLOOKUP($B208&amp;"|"&amp;$D208,ShiftKnowledge!$A$2:$A$9,ShiftKnowledge!$I$2:$I$9,""),IFERROR(INDEX(ShiftKnowledge!$I$2:$I$9,MATCH($B208&amp;"|"&amp;$D208,ShiftKnowledge!$A$2:$A$9,0)),"")))</f>
        <v/>
      </c>
      <c r="M208" s="6" t="inlineStr"/>
    </row>
    <row r="209" ht="20" customHeight="1">
      <c r="A209" s="4" t="inlineStr">
        <is>
          <t>12/11/2025</t>
        </is>
      </c>
      <c r="B209" s="4" t="inlineStr">
        <is>
          <t>ENT</t>
        </is>
      </c>
      <c r="C209" s="5" t="inlineStr">
        <is>
          <t>Dr. Nishesh Raj Shrestha</t>
        </is>
      </c>
      <c r="D209" s="4" t="inlineStr"/>
      <c r="E209" s="4">
        <f>IF($D209="Custom","",IFERROR(XLOOKUP($B209&amp;"|"&amp;$D209,ShiftKnowledge!$A$2:$A$9,ShiftKnowledge!$D$2:$D$9,""),IFERROR(INDEX(ShiftKnowledge!$D$2:$D$9,MATCH($B209&amp;"|"&amp;$D209,ShiftKnowledge!$A$2:$A$9,0)),"")))</f>
        <v/>
      </c>
      <c r="F209" s="4" t="inlineStr"/>
      <c r="G209" s="4">
        <f>IF(AND($I209="",$L209=""),"",IFERROR(VALUE($I209),0)+IFERROR(VALUE($L209),0))</f>
        <v/>
      </c>
      <c r="H209" s="4">
        <f>IF($D209="Custom","",IFERROR(XLOOKUP($B209&amp;"|"&amp;$D209,ShiftKnowledge!$A$2:$A$9,ShiftKnowledge!$E$2:$E$9,""),IFERROR(INDEX(ShiftKnowledge!$E$2:$E$9,MATCH($B209&amp;"|"&amp;$D209,ShiftKnowledge!$A$2:$A$9,0)),"")))</f>
        <v/>
      </c>
      <c r="I209" s="4">
        <f>IF($D209="Custom","",IFERROR(XLOOKUP($B209&amp;"|"&amp;$D209,ShiftKnowledge!$A$2:$A$9,ShiftKnowledge!$F$2:$F$9,""),IFERROR(INDEX(ShiftKnowledge!$F$2:$F$9,MATCH($B209&amp;"|"&amp;$D209,ShiftKnowledge!$A$2:$A$9,0)),"")))</f>
        <v/>
      </c>
      <c r="J209" s="4">
        <f>IF($D209="Custom","",IFERROR(XLOOKUP($B209&amp;"|"&amp;$D209,ShiftKnowledge!$A$2:$A$9,ShiftKnowledge!$G$2:$G$9,""),IFERROR(INDEX(ShiftKnowledge!$G$2:$G$9,MATCH($B209&amp;"|"&amp;$D209,ShiftKnowledge!$A$2:$A$9,0)),"")))</f>
        <v/>
      </c>
      <c r="K209" s="4">
        <f>IF($D209="Custom","",IFERROR(XLOOKUP($B209&amp;"|"&amp;$D209,ShiftKnowledge!$A$2:$A$9,ShiftKnowledge!$H$2:$H$9,""),IFERROR(INDEX(ShiftKnowledge!$H$2:$H$9,MATCH($B209&amp;"|"&amp;$D209,ShiftKnowledge!$A$2:$A$9,0)),"")))</f>
        <v/>
      </c>
      <c r="L209" s="4">
        <f>IF($D209="Custom","",IFERROR(XLOOKUP($B209&amp;"|"&amp;$D209,ShiftKnowledge!$A$2:$A$9,ShiftKnowledge!$I$2:$I$9,""),IFERROR(INDEX(ShiftKnowledge!$I$2:$I$9,MATCH($B209&amp;"|"&amp;$D209,ShiftKnowledge!$A$2:$A$9,0)),"")))</f>
        <v/>
      </c>
      <c r="M209" s="4" t="inlineStr"/>
    </row>
    <row r="210" ht="20" customHeight="1">
      <c r="A210" s="6" t="inlineStr">
        <is>
          <t>12/11/2025</t>
        </is>
      </c>
      <c r="B210" s="6" t="inlineStr">
        <is>
          <t>ENT</t>
        </is>
      </c>
      <c r="C210" s="7" t="inlineStr">
        <is>
          <t>Dr. Rachit Pokharel</t>
        </is>
      </c>
      <c r="D210" s="6" t="inlineStr"/>
      <c r="E210" s="6">
        <f>IF($D210="Custom","",IFERROR(XLOOKUP($B210&amp;"|"&amp;$D210,ShiftKnowledge!$A$2:$A$9,ShiftKnowledge!$D$2:$D$9,""),IFERROR(INDEX(ShiftKnowledge!$D$2:$D$9,MATCH($B210&amp;"|"&amp;$D210,ShiftKnowledge!$A$2:$A$9,0)),"")))</f>
        <v/>
      </c>
      <c r="F210" s="6" t="inlineStr"/>
      <c r="G210" s="6">
        <f>IF(AND($I210="",$L210=""),"",IFERROR(VALUE($I210),0)+IFERROR(VALUE($L210),0))</f>
        <v/>
      </c>
      <c r="H210" s="6">
        <f>IF($D210="Custom","",IFERROR(XLOOKUP($B210&amp;"|"&amp;$D210,ShiftKnowledge!$A$2:$A$9,ShiftKnowledge!$E$2:$E$9,""),IFERROR(INDEX(ShiftKnowledge!$E$2:$E$9,MATCH($B210&amp;"|"&amp;$D210,ShiftKnowledge!$A$2:$A$9,0)),"")))</f>
        <v/>
      </c>
      <c r="I210" s="6">
        <f>IF($D210="Custom","",IFERROR(XLOOKUP($B210&amp;"|"&amp;$D210,ShiftKnowledge!$A$2:$A$9,ShiftKnowledge!$F$2:$F$9,""),IFERROR(INDEX(ShiftKnowledge!$F$2:$F$9,MATCH($B210&amp;"|"&amp;$D210,ShiftKnowledge!$A$2:$A$9,0)),"")))</f>
        <v/>
      </c>
      <c r="J210" s="6">
        <f>IF($D210="Custom","",IFERROR(XLOOKUP($B210&amp;"|"&amp;$D210,ShiftKnowledge!$A$2:$A$9,ShiftKnowledge!$G$2:$G$9,""),IFERROR(INDEX(ShiftKnowledge!$G$2:$G$9,MATCH($B210&amp;"|"&amp;$D210,ShiftKnowledge!$A$2:$A$9,0)),"")))</f>
        <v/>
      </c>
      <c r="K210" s="6">
        <f>IF($D210="Custom","",IFERROR(XLOOKUP($B210&amp;"|"&amp;$D210,ShiftKnowledge!$A$2:$A$9,ShiftKnowledge!$H$2:$H$9,""),IFERROR(INDEX(ShiftKnowledge!$H$2:$H$9,MATCH($B210&amp;"|"&amp;$D210,ShiftKnowledge!$A$2:$A$9,0)),"")))</f>
        <v/>
      </c>
      <c r="L210" s="6">
        <f>IF($D210="Custom","",IFERROR(XLOOKUP($B210&amp;"|"&amp;$D210,ShiftKnowledge!$A$2:$A$9,ShiftKnowledge!$I$2:$I$9,""),IFERROR(INDEX(ShiftKnowledge!$I$2:$I$9,MATCH($B210&amp;"|"&amp;$D210,ShiftKnowledge!$A$2:$A$9,0)),"")))</f>
        <v/>
      </c>
      <c r="M210" s="6" t="inlineStr"/>
    </row>
    <row r="211" ht="20" customHeight="1">
      <c r="A211" s="4" t="inlineStr">
        <is>
          <t>12/11/2025</t>
        </is>
      </c>
      <c r="B211" s="4" t="inlineStr">
        <is>
          <t>Ophthalmology</t>
        </is>
      </c>
      <c r="C211" s="5" t="inlineStr">
        <is>
          <t>Dr. Remon Girgis Lamee Girgis</t>
        </is>
      </c>
      <c r="D211" s="4" t="inlineStr"/>
      <c r="E211" s="4">
        <f>IF($D211="Custom","",IFERROR(XLOOKUP($B211&amp;"|"&amp;$D211,ShiftKnowledge!$A$2:$A$9,ShiftKnowledge!$D$2:$D$9,""),IFERROR(INDEX(ShiftKnowledge!$D$2:$D$9,MATCH($B211&amp;"|"&amp;$D211,ShiftKnowledge!$A$2:$A$9,0)),"")))</f>
        <v/>
      </c>
      <c r="F211" s="4" t="inlineStr"/>
      <c r="G211" s="4">
        <f>IF(AND($I211="",$L211=""),"",IFERROR(VALUE($I211),0)+IFERROR(VALUE($L211),0))</f>
        <v/>
      </c>
      <c r="H211" s="4">
        <f>IF($D211="Custom","",IFERROR(XLOOKUP($B211&amp;"|"&amp;$D211,ShiftKnowledge!$A$2:$A$9,ShiftKnowledge!$E$2:$E$9,""),IFERROR(INDEX(ShiftKnowledge!$E$2:$E$9,MATCH($B211&amp;"|"&amp;$D211,ShiftKnowledge!$A$2:$A$9,0)),"")))</f>
        <v/>
      </c>
      <c r="I211" s="4">
        <f>IF($D211="Custom","",IFERROR(XLOOKUP($B211&amp;"|"&amp;$D211,ShiftKnowledge!$A$2:$A$9,ShiftKnowledge!$F$2:$F$9,""),IFERROR(INDEX(ShiftKnowledge!$F$2:$F$9,MATCH($B211&amp;"|"&amp;$D211,ShiftKnowledge!$A$2:$A$9,0)),"")))</f>
        <v/>
      </c>
      <c r="J211" s="4">
        <f>IF($D211="Custom","",IFERROR(XLOOKUP($B211&amp;"|"&amp;$D211,ShiftKnowledge!$A$2:$A$9,ShiftKnowledge!$G$2:$G$9,""),IFERROR(INDEX(ShiftKnowledge!$G$2:$G$9,MATCH($B211&amp;"|"&amp;$D211,ShiftKnowledge!$A$2:$A$9,0)),"")))</f>
        <v/>
      </c>
      <c r="K211" s="4">
        <f>IF($D211="Custom","",IFERROR(XLOOKUP($B211&amp;"|"&amp;$D211,ShiftKnowledge!$A$2:$A$9,ShiftKnowledge!$H$2:$H$9,""),IFERROR(INDEX(ShiftKnowledge!$H$2:$H$9,MATCH($B211&amp;"|"&amp;$D211,ShiftKnowledge!$A$2:$A$9,0)),"")))</f>
        <v/>
      </c>
      <c r="L211" s="4">
        <f>IF($D211="Custom","",IFERROR(XLOOKUP($B211&amp;"|"&amp;$D211,ShiftKnowledge!$A$2:$A$9,ShiftKnowledge!$I$2:$I$9,""),IFERROR(INDEX(ShiftKnowledge!$I$2:$I$9,MATCH($B211&amp;"|"&amp;$D211,ShiftKnowledge!$A$2:$A$9,0)),"")))</f>
        <v/>
      </c>
      <c r="M211" s="4" t="inlineStr"/>
    </row>
    <row r="212" ht="20" customHeight="1">
      <c r="A212" s="6" t="inlineStr">
        <is>
          <t>12/11/2025</t>
        </is>
      </c>
      <c r="B212" s="6" t="inlineStr">
        <is>
          <t>Paediatrics</t>
        </is>
      </c>
      <c r="C212" s="7" t="inlineStr">
        <is>
          <t>Dr. Roshan Kumar Dikshit</t>
        </is>
      </c>
      <c r="D212" s="6" t="inlineStr"/>
      <c r="E212" s="6">
        <f>IF($D212="Custom","",IFERROR(XLOOKUP($B212&amp;"|"&amp;$D212,ShiftKnowledge!$A$2:$A$9,ShiftKnowledge!$D$2:$D$9,""),IFERROR(INDEX(ShiftKnowledge!$D$2:$D$9,MATCH($B212&amp;"|"&amp;$D212,ShiftKnowledge!$A$2:$A$9,0)),"")))</f>
        <v/>
      </c>
      <c r="F212" s="6" t="inlineStr"/>
      <c r="G212" s="6">
        <f>IF(AND($I212="",$L212=""),"",IFERROR(VALUE($I212),0)+IFERROR(VALUE($L212),0))</f>
        <v/>
      </c>
      <c r="H212" s="6">
        <f>IF($D212="Custom","",IFERROR(XLOOKUP($B212&amp;"|"&amp;$D212,ShiftKnowledge!$A$2:$A$9,ShiftKnowledge!$E$2:$E$9,""),IFERROR(INDEX(ShiftKnowledge!$E$2:$E$9,MATCH($B212&amp;"|"&amp;$D212,ShiftKnowledge!$A$2:$A$9,0)),"")))</f>
        <v/>
      </c>
      <c r="I212" s="6">
        <f>IF($D212="Custom","",IFERROR(XLOOKUP($B212&amp;"|"&amp;$D212,ShiftKnowledge!$A$2:$A$9,ShiftKnowledge!$F$2:$F$9,""),IFERROR(INDEX(ShiftKnowledge!$F$2:$F$9,MATCH($B212&amp;"|"&amp;$D212,ShiftKnowledge!$A$2:$A$9,0)),"")))</f>
        <v/>
      </c>
      <c r="J212" s="6">
        <f>IF($D212="Custom","",IFERROR(XLOOKUP($B212&amp;"|"&amp;$D212,ShiftKnowledge!$A$2:$A$9,ShiftKnowledge!$G$2:$G$9,""),IFERROR(INDEX(ShiftKnowledge!$G$2:$G$9,MATCH($B212&amp;"|"&amp;$D212,ShiftKnowledge!$A$2:$A$9,0)),"")))</f>
        <v/>
      </c>
      <c r="K212" s="6">
        <f>IF($D212="Custom","",IFERROR(XLOOKUP($B212&amp;"|"&amp;$D212,ShiftKnowledge!$A$2:$A$9,ShiftKnowledge!$H$2:$H$9,""),IFERROR(INDEX(ShiftKnowledge!$H$2:$H$9,MATCH($B212&amp;"|"&amp;$D212,ShiftKnowledge!$A$2:$A$9,0)),"")))</f>
        <v/>
      </c>
      <c r="L212" s="6">
        <f>IF($D212="Custom","",IFERROR(XLOOKUP($B212&amp;"|"&amp;$D212,ShiftKnowledge!$A$2:$A$9,ShiftKnowledge!$I$2:$I$9,""),IFERROR(INDEX(ShiftKnowledge!$I$2:$I$9,MATCH($B212&amp;"|"&amp;$D212,ShiftKnowledge!$A$2:$A$9,0)),"")))</f>
        <v/>
      </c>
      <c r="M212" s="6" t="inlineStr"/>
    </row>
    <row r="213" ht="20" customHeight="1">
      <c r="A213" s="4" t="inlineStr">
        <is>
          <t>12/11/2025</t>
        </is>
      </c>
      <c r="B213" s="4" t="inlineStr">
        <is>
          <t>Ophthalmology</t>
        </is>
      </c>
      <c r="C213" s="5" t="inlineStr">
        <is>
          <t>Dr. Roxy Devi Chirom</t>
        </is>
      </c>
      <c r="D213" s="4" t="inlineStr"/>
      <c r="E213" s="4">
        <f>IF($D213="Custom","",IFERROR(XLOOKUP($B213&amp;"|"&amp;$D213,ShiftKnowledge!$A$2:$A$9,ShiftKnowledge!$D$2:$D$9,""),IFERROR(INDEX(ShiftKnowledge!$D$2:$D$9,MATCH($B213&amp;"|"&amp;$D213,ShiftKnowledge!$A$2:$A$9,0)),"")))</f>
        <v/>
      </c>
      <c r="F213" s="4" t="inlineStr"/>
      <c r="G213" s="4">
        <f>IF(AND($I213="",$L213=""),"",IFERROR(VALUE($I213),0)+IFERROR(VALUE($L213),0))</f>
        <v/>
      </c>
      <c r="H213" s="4">
        <f>IF($D213="Custom","",IFERROR(XLOOKUP($B213&amp;"|"&amp;$D213,ShiftKnowledge!$A$2:$A$9,ShiftKnowledge!$E$2:$E$9,""),IFERROR(INDEX(ShiftKnowledge!$E$2:$E$9,MATCH($B213&amp;"|"&amp;$D213,ShiftKnowledge!$A$2:$A$9,0)),"")))</f>
        <v/>
      </c>
      <c r="I213" s="4">
        <f>IF($D213="Custom","",IFERROR(XLOOKUP($B213&amp;"|"&amp;$D213,ShiftKnowledge!$A$2:$A$9,ShiftKnowledge!$F$2:$F$9,""),IFERROR(INDEX(ShiftKnowledge!$F$2:$F$9,MATCH($B213&amp;"|"&amp;$D213,ShiftKnowledge!$A$2:$A$9,0)),"")))</f>
        <v/>
      </c>
      <c r="J213" s="4">
        <f>IF($D213="Custom","",IFERROR(XLOOKUP($B213&amp;"|"&amp;$D213,ShiftKnowledge!$A$2:$A$9,ShiftKnowledge!$G$2:$G$9,""),IFERROR(INDEX(ShiftKnowledge!$G$2:$G$9,MATCH($B213&amp;"|"&amp;$D213,ShiftKnowledge!$A$2:$A$9,0)),"")))</f>
        <v/>
      </c>
      <c r="K213" s="4">
        <f>IF($D213="Custom","",IFERROR(XLOOKUP($B213&amp;"|"&amp;$D213,ShiftKnowledge!$A$2:$A$9,ShiftKnowledge!$H$2:$H$9,""),IFERROR(INDEX(ShiftKnowledge!$H$2:$H$9,MATCH($B213&amp;"|"&amp;$D213,ShiftKnowledge!$A$2:$A$9,0)),"")))</f>
        <v/>
      </c>
      <c r="L213" s="4">
        <f>IF($D213="Custom","",IFERROR(XLOOKUP($B213&amp;"|"&amp;$D213,ShiftKnowledge!$A$2:$A$9,ShiftKnowledge!$I$2:$I$9,""),IFERROR(INDEX(ShiftKnowledge!$I$2:$I$9,MATCH($B213&amp;"|"&amp;$D213,ShiftKnowledge!$A$2:$A$9,0)),"")))</f>
        <v/>
      </c>
      <c r="M213" s="4" t="inlineStr"/>
    </row>
    <row r="214" ht="20" customHeight="1">
      <c r="A214" s="6" t="inlineStr">
        <is>
          <t>12/11/2025</t>
        </is>
      </c>
      <c r="B214" s="6" t="inlineStr">
        <is>
          <t>General Surgery</t>
        </is>
      </c>
      <c r="C214" s="7" t="inlineStr">
        <is>
          <t>Dr. Rubab Nafees</t>
        </is>
      </c>
      <c r="D214" s="6" t="inlineStr"/>
      <c r="E214" s="6">
        <f>IF($D214="Custom","",IFERROR(XLOOKUP($B214&amp;"|"&amp;$D214,ShiftKnowledge!$A$2:$A$9,ShiftKnowledge!$D$2:$D$9,""),IFERROR(INDEX(ShiftKnowledge!$D$2:$D$9,MATCH($B214&amp;"|"&amp;$D214,ShiftKnowledge!$A$2:$A$9,0)),"")))</f>
        <v/>
      </c>
      <c r="F214" s="6" t="inlineStr"/>
      <c r="G214" s="6">
        <f>IF(AND($I214="",$L214=""),"",IFERROR(VALUE($I214),0)+IFERROR(VALUE($L214),0))</f>
        <v/>
      </c>
      <c r="H214" s="6">
        <f>IF($D214="Custom","",IFERROR(XLOOKUP($B214&amp;"|"&amp;$D214,ShiftKnowledge!$A$2:$A$9,ShiftKnowledge!$E$2:$E$9,""),IFERROR(INDEX(ShiftKnowledge!$E$2:$E$9,MATCH($B214&amp;"|"&amp;$D214,ShiftKnowledge!$A$2:$A$9,0)),"")))</f>
        <v/>
      </c>
      <c r="I214" s="6">
        <f>IF($D214="Custom","",IFERROR(XLOOKUP($B214&amp;"|"&amp;$D214,ShiftKnowledge!$A$2:$A$9,ShiftKnowledge!$F$2:$F$9,""),IFERROR(INDEX(ShiftKnowledge!$F$2:$F$9,MATCH($B214&amp;"|"&amp;$D214,ShiftKnowledge!$A$2:$A$9,0)),"")))</f>
        <v/>
      </c>
      <c r="J214" s="6">
        <f>IF($D214="Custom","",IFERROR(XLOOKUP($B214&amp;"|"&amp;$D214,ShiftKnowledge!$A$2:$A$9,ShiftKnowledge!$G$2:$G$9,""),IFERROR(INDEX(ShiftKnowledge!$G$2:$G$9,MATCH($B214&amp;"|"&amp;$D214,ShiftKnowledge!$A$2:$A$9,0)),"")))</f>
        <v/>
      </c>
      <c r="K214" s="6">
        <f>IF($D214="Custom","",IFERROR(XLOOKUP($B214&amp;"|"&amp;$D214,ShiftKnowledge!$A$2:$A$9,ShiftKnowledge!$H$2:$H$9,""),IFERROR(INDEX(ShiftKnowledge!$H$2:$H$9,MATCH($B214&amp;"|"&amp;$D214,ShiftKnowledge!$A$2:$A$9,0)),"")))</f>
        <v/>
      </c>
      <c r="L214" s="6">
        <f>IF($D214="Custom","",IFERROR(XLOOKUP($B214&amp;"|"&amp;$D214,ShiftKnowledge!$A$2:$A$9,ShiftKnowledge!$I$2:$I$9,""),IFERROR(INDEX(ShiftKnowledge!$I$2:$I$9,MATCH($B214&amp;"|"&amp;$D214,ShiftKnowledge!$A$2:$A$9,0)),"")))</f>
        <v/>
      </c>
      <c r="M214" s="6" t="inlineStr"/>
    </row>
    <row r="215" ht="20" customHeight="1">
      <c r="A215" s="4" t="inlineStr">
        <is>
          <t>12/11/2025</t>
        </is>
      </c>
      <c r="B215" s="4" t="inlineStr">
        <is>
          <t>Gynaecology</t>
        </is>
      </c>
      <c r="C215" s="5" t="inlineStr">
        <is>
          <t>Dr. Rubeena Badar Khan</t>
        </is>
      </c>
      <c r="D215" s="4" t="inlineStr"/>
      <c r="E215" s="4">
        <f>IF($D215="Custom","",IFERROR(XLOOKUP($B215&amp;"|"&amp;$D215,ShiftKnowledge!$A$2:$A$9,ShiftKnowledge!$D$2:$D$9,""),IFERROR(INDEX(ShiftKnowledge!$D$2:$D$9,MATCH($B215&amp;"|"&amp;$D215,ShiftKnowledge!$A$2:$A$9,0)),"")))</f>
        <v/>
      </c>
      <c r="F215" s="4" t="inlineStr"/>
      <c r="G215" s="4">
        <f>IF(AND($I215="",$L215=""),"",IFERROR(VALUE($I215),0)+IFERROR(VALUE($L215),0))</f>
        <v/>
      </c>
      <c r="H215" s="4">
        <f>IF($D215="Custom","",IFERROR(XLOOKUP($B215&amp;"|"&amp;$D215,ShiftKnowledge!$A$2:$A$9,ShiftKnowledge!$E$2:$E$9,""),IFERROR(INDEX(ShiftKnowledge!$E$2:$E$9,MATCH($B215&amp;"|"&amp;$D215,ShiftKnowledge!$A$2:$A$9,0)),"")))</f>
        <v/>
      </c>
      <c r="I215" s="4">
        <f>IF($D215="Custom","",IFERROR(XLOOKUP($B215&amp;"|"&amp;$D215,ShiftKnowledge!$A$2:$A$9,ShiftKnowledge!$F$2:$F$9,""),IFERROR(INDEX(ShiftKnowledge!$F$2:$F$9,MATCH($B215&amp;"|"&amp;$D215,ShiftKnowledge!$A$2:$A$9,0)),"")))</f>
        <v/>
      </c>
      <c r="J215" s="4">
        <f>IF($D215="Custom","",IFERROR(XLOOKUP($B215&amp;"|"&amp;$D215,ShiftKnowledge!$A$2:$A$9,ShiftKnowledge!$G$2:$G$9,""),IFERROR(INDEX(ShiftKnowledge!$G$2:$G$9,MATCH($B215&amp;"|"&amp;$D215,ShiftKnowledge!$A$2:$A$9,0)),"")))</f>
        <v/>
      </c>
      <c r="K215" s="4">
        <f>IF($D215="Custom","",IFERROR(XLOOKUP($B215&amp;"|"&amp;$D215,ShiftKnowledge!$A$2:$A$9,ShiftKnowledge!$H$2:$H$9,""),IFERROR(INDEX(ShiftKnowledge!$H$2:$H$9,MATCH($B215&amp;"|"&amp;$D215,ShiftKnowledge!$A$2:$A$9,0)),"")))</f>
        <v/>
      </c>
      <c r="L215" s="4">
        <f>IF($D215="Custom","",IFERROR(XLOOKUP($B215&amp;"|"&amp;$D215,ShiftKnowledge!$A$2:$A$9,ShiftKnowledge!$I$2:$I$9,""),IFERROR(INDEX(ShiftKnowledge!$I$2:$I$9,MATCH($B215&amp;"|"&amp;$D215,ShiftKnowledge!$A$2:$A$9,0)),"")))</f>
        <v/>
      </c>
      <c r="M215" s="4" t="inlineStr"/>
    </row>
    <row r="216" ht="20" customHeight="1">
      <c r="A216" s="6" t="inlineStr">
        <is>
          <t>12/11/2025</t>
        </is>
      </c>
      <c r="B216" s="6" t="inlineStr">
        <is>
          <t>Dental</t>
        </is>
      </c>
      <c r="C216" s="7" t="inlineStr">
        <is>
          <t>Dr. Safa Abdul Gayyoom</t>
        </is>
      </c>
      <c r="D216" s="6" t="inlineStr"/>
      <c r="E216" s="6">
        <f>IF($D216="Custom","",IFERROR(XLOOKUP($B216&amp;"|"&amp;$D216,ShiftKnowledge!$A$2:$A$9,ShiftKnowledge!$D$2:$D$9,""),IFERROR(INDEX(ShiftKnowledge!$D$2:$D$9,MATCH($B216&amp;"|"&amp;$D216,ShiftKnowledge!$A$2:$A$9,0)),"")))</f>
        <v/>
      </c>
      <c r="F216" s="6" t="inlineStr"/>
      <c r="G216" s="6">
        <f>IF(AND($I216="",$L216=""),"",IFERROR(VALUE($I216),0)+IFERROR(VALUE($L216),0))</f>
        <v/>
      </c>
      <c r="H216" s="6">
        <f>IF($D216="Custom","",IFERROR(XLOOKUP($B216&amp;"|"&amp;$D216,ShiftKnowledge!$A$2:$A$9,ShiftKnowledge!$E$2:$E$9,""),IFERROR(INDEX(ShiftKnowledge!$E$2:$E$9,MATCH($B216&amp;"|"&amp;$D216,ShiftKnowledge!$A$2:$A$9,0)),"")))</f>
        <v/>
      </c>
      <c r="I216" s="6">
        <f>IF($D216="Custom","",IFERROR(XLOOKUP($B216&amp;"|"&amp;$D216,ShiftKnowledge!$A$2:$A$9,ShiftKnowledge!$F$2:$F$9,""),IFERROR(INDEX(ShiftKnowledge!$F$2:$F$9,MATCH($B216&amp;"|"&amp;$D216,ShiftKnowledge!$A$2:$A$9,0)),"")))</f>
        <v/>
      </c>
      <c r="J216" s="6">
        <f>IF($D216="Custom","",IFERROR(XLOOKUP($B216&amp;"|"&amp;$D216,ShiftKnowledge!$A$2:$A$9,ShiftKnowledge!$G$2:$G$9,""),IFERROR(INDEX(ShiftKnowledge!$G$2:$G$9,MATCH($B216&amp;"|"&amp;$D216,ShiftKnowledge!$A$2:$A$9,0)),"")))</f>
        <v/>
      </c>
      <c r="K216" s="6">
        <f>IF($D216="Custom","",IFERROR(XLOOKUP($B216&amp;"|"&amp;$D216,ShiftKnowledge!$A$2:$A$9,ShiftKnowledge!$H$2:$H$9,""),IFERROR(INDEX(ShiftKnowledge!$H$2:$H$9,MATCH($B216&amp;"|"&amp;$D216,ShiftKnowledge!$A$2:$A$9,0)),"")))</f>
        <v/>
      </c>
      <c r="L216" s="6">
        <f>IF($D216="Custom","",IFERROR(XLOOKUP($B216&amp;"|"&amp;$D216,ShiftKnowledge!$A$2:$A$9,ShiftKnowledge!$I$2:$I$9,""),IFERROR(INDEX(ShiftKnowledge!$I$2:$I$9,MATCH($B216&amp;"|"&amp;$D216,ShiftKnowledge!$A$2:$A$9,0)),"")))</f>
        <v/>
      </c>
      <c r="M216" s="6" t="inlineStr"/>
    </row>
    <row r="217" ht="20" customHeight="1">
      <c r="A217" s="4" t="inlineStr">
        <is>
          <t>12/11/2025</t>
        </is>
      </c>
      <c r="B217" s="4" t="inlineStr">
        <is>
          <t>Internal Medicine</t>
        </is>
      </c>
      <c r="C217" s="5" t="inlineStr">
        <is>
          <t>Dr. Saroj Thapa</t>
        </is>
      </c>
      <c r="D217" s="4" t="inlineStr"/>
      <c r="E217" s="4">
        <f>IF($D217="Custom","",IFERROR(XLOOKUP($B217&amp;"|"&amp;$D217,ShiftKnowledge!$A$2:$A$9,ShiftKnowledge!$D$2:$D$9,""),IFERROR(INDEX(ShiftKnowledge!$D$2:$D$9,MATCH($B217&amp;"|"&amp;$D217,ShiftKnowledge!$A$2:$A$9,0)),"")))</f>
        <v/>
      </c>
      <c r="F217" s="4" t="inlineStr"/>
      <c r="G217" s="4">
        <f>IF(AND($I217="",$L217=""),"",IFERROR(VALUE($I217),0)+IFERROR(VALUE($L217),0))</f>
        <v/>
      </c>
      <c r="H217" s="4">
        <f>IF($D217="Custom","",IFERROR(XLOOKUP($B217&amp;"|"&amp;$D217,ShiftKnowledge!$A$2:$A$9,ShiftKnowledge!$E$2:$E$9,""),IFERROR(INDEX(ShiftKnowledge!$E$2:$E$9,MATCH($B217&amp;"|"&amp;$D217,ShiftKnowledge!$A$2:$A$9,0)),"")))</f>
        <v/>
      </c>
      <c r="I217" s="4">
        <f>IF($D217="Custom","",IFERROR(XLOOKUP($B217&amp;"|"&amp;$D217,ShiftKnowledge!$A$2:$A$9,ShiftKnowledge!$F$2:$F$9,""),IFERROR(INDEX(ShiftKnowledge!$F$2:$F$9,MATCH($B217&amp;"|"&amp;$D217,ShiftKnowledge!$A$2:$A$9,0)),"")))</f>
        <v/>
      </c>
      <c r="J217" s="4">
        <f>IF($D217="Custom","",IFERROR(XLOOKUP($B217&amp;"|"&amp;$D217,ShiftKnowledge!$A$2:$A$9,ShiftKnowledge!$G$2:$G$9,""),IFERROR(INDEX(ShiftKnowledge!$G$2:$G$9,MATCH($B217&amp;"|"&amp;$D217,ShiftKnowledge!$A$2:$A$9,0)),"")))</f>
        <v/>
      </c>
      <c r="K217" s="4">
        <f>IF($D217="Custom","",IFERROR(XLOOKUP($B217&amp;"|"&amp;$D217,ShiftKnowledge!$A$2:$A$9,ShiftKnowledge!$H$2:$H$9,""),IFERROR(INDEX(ShiftKnowledge!$H$2:$H$9,MATCH($B217&amp;"|"&amp;$D217,ShiftKnowledge!$A$2:$A$9,0)),"")))</f>
        <v/>
      </c>
      <c r="L217" s="4">
        <f>IF($D217="Custom","",IFERROR(XLOOKUP($B217&amp;"|"&amp;$D217,ShiftKnowledge!$A$2:$A$9,ShiftKnowledge!$I$2:$I$9,""),IFERROR(INDEX(ShiftKnowledge!$I$2:$I$9,MATCH($B217&amp;"|"&amp;$D217,ShiftKnowledge!$A$2:$A$9,0)),"")))</f>
        <v/>
      </c>
      <c r="M217" s="4" t="inlineStr"/>
    </row>
    <row r="218" ht="20" customHeight="1">
      <c r="A218" s="6" t="inlineStr">
        <is>
          <t>12/11/2025</t>
        </is>
      </c>
      <c r="B218" s="6" t="inlineStr">
        <is>
          <t>General Surgery</t>
        </is>
      </c>
      <c r="C218" s="7" t="inlineStr">
        <is>
          <t>Dr. Su Mon Kyaw</t>
        </is>
      </c>
      <c r="D218" s="6" t="inlineStr"/>
      <c r="E218" s="6">
        <f>IF($D218="Custom","",IFERROR(XLOOKUP($B218&amp;"|"&amp;$D218,ShiftKnowledge!$A$2:$A$9,ShiftKnowledge!$D$2:$D$9,""),IFERROR(INDEX(ShiftKnowledge!$D$2:$D$9,MATCH($B218&amp;"|"&amp;$D218,ShiftKnowledge!$A$2:$A$9,0)),"")))</f>
        <v/>
      </c>
      <c r="F218" s="6" t="inlineStr"/>
      <c r="G218" s="6">
        <f>IF(AND($I218="",$L218=""),"",IFERROR(VALUE($I218),0)+IFERROR(VALUE($L218),0))</f>
        <v/>
      </c>
      <c r="H218" s="6">
        <f>IF($D218="Custom","",IFERROR(XLOOKUP($B218&amp;"|"&amp;$D218,ShiftKnowledge!$A$2:$A$9,ShiftKnowledge!$E$2:$E$9,""),IFERROR(INDEX(ShiftKnowledge!$E$2:$E$9,MATCH($B218&amp;"|"&amp;$D218,ShiftKnowledge!$A$2:$A$9,0)),"")))</f>
        <v/>
      </c>
      <c r="I218" s="6">
        <f>IF($D218="Custom","",IFERROR(XLOOKUP($B218&amp;"|"&amp;$D218,ShiftKnowledge!$A$2:$A$9,ShiftKnowledge!$F$2:$F$9,""),IFERROR(INDEX(ShiftKnowledge!$F$2:$F$9,MATCH($B218&amp;"|"&amp;$D218,ShiftKnowledge!$A$2:$A$9,0)),"")))</f>
        <v/>
      </c>
      <c r="J218" s="6">
        <f>IF($D218="Custom","",IFERROR(XLOOKUP($B218&amp;"|"&amp;$D218,ShiftKnowledge!$A$2:$A$9,ShiftKnowledge!$G$2:$G$9,""),IFERROR(INDEX(ShiftKnowledge!$G$2:$G$9,MATCH($B218&amp;"|"&amp;$D218,ShiftKnowledge!$A$2:$A$9,0)),"")))</f>
        <v/>
      </c>
      <c r="K218" s="6">
        <f>IF($D218="Custom","",IFERROR(XLOOKUP($B218&amp;"|"&amp;$D218,ShiftKnowledge!$A$2:$A$9,ShiftKnowledge!$H$2:$H$9,""),IFERROR(INDEX(ShiftKnowledge!$H$2:$H$9,MATCH($B218&amp;"|"&amp;$D218,ShiftKnowledge!$A$2:$A$9,0)),"")))</f>
        <v/>
      </c>
      <c r="L218" s="6">
        <f>IF($D218="Custom","",IFERROR(XLOOKUP($B218&amp;"|"&amp;$D218,ShiftKnowledge!$A$2:$A$9,ShiftKnowledge!$I$2:$I$9,""),IFERROR(INDEX(ShiftKnowledge!$I$2:$I$9,MATCH($B218&amp;"|"&amp;$D218,ShiftKnowledge!$A$2:$A$9,0)),"")))</f>
        <v/>
      </c>
      <c r="M218" s="6" t="inlineStr"/>
    </row>
    <row r="219" ht="20" customHeight="1">
      <c r="A219" s="4" t="inlineStr">
        <is>
          <t>12/11/2025</t>
        </is>
      </c>
      <c r="B219" s="4" t="inlineStr">
        <is>
          <t>Internal Medicine</t>
        </is>
      </c>
      <c r="C219" s="5" t="inlineStr">
        <is>
          <t>Dr. Sumretee</t>
        </is>
      </c>
      <c r="D219" s="4" t="inlineStr"/>
      <c r="E219" s="4">
        <f>IF($D219="Custom","",IFERROR(XLOOKUP($B219&amp;"|"&amp;$D219,ShiftKnowledge!$A$2:$A$9,ShiftKnowledge!$D$2:$D$9,""),IFERROR(INDEX(ShiftKnowledge!$D$2:$D$9,MATCH($B219&amp;"|"&amp;$D219,ShiftKnowledge!$A$2:$A$9,0)),"")))</f>
        <v/>
      </c>
      <c r="F219" s="4" t="inlineStr"/>
      <c r="G219" s="4">
        <f>IF(AND($I219="",$L219=""),"",IFERROR(VALUE($I219),0)+IFERROR(VALUE($L219),0))</f>
        <v/>
      </c>
      <c r="H219" s="4">
        <f>IF($D219="Custom","",IFERROR(XLOOKUP($B219&amp;"|"&amp;$D219,ShiftKnowledge!$A$2:$A$9,ShiftKnowledge!$E$2:$E$9,""),IFERROR(INDEX(ShiftKnowledge!$E$2:$E$9,MATCH($B219&amp;"|"&amp;$D219,ShiftKnowledge!$A$2:$A$9,0)),"")))</f>
        <v/>
      </c>
      <c r="I219" s="4">
        <f>IF($D219="Custom","",IFERROR(XLOOKUP($B219&amp;"|"&amp;$D219,ShiftKnowledge!$A$2:$A$9,ShiftKnowledge!$F$2:$F$9,""),IFERROR(INDEX(ShiftKnowledge!$F$2:$F$9,MATCH($B219&amp;"|"&amp;$D219,ShiftKnowledge!$A$2:$A$9,0)),"")))</f>
        <v/>
      </c>
      <c r="J219" s="4">
        <f>IF($D219="Custom","",IFERROR(XLOOKUP($B219&amp;"|"&amp;$D219,ShiftKnowledge!$A$2:$A$9,ShiftKnowledge!$G$2:$G$9,""),IFERROR(INDEX(ShiftKnowledge!$G$2:$G$9,MATCH($B219&amp;"|"&amp;$D219,ShiftKnowledge!$A$2:$A$9,0)),"")))</f>
        <v/>
      </c>
      <c r="K219" s="4">
        <f>IF($D219="Custom","",IFERROR(XLOOKUP($B219&amp;"|"&amp;$D219,ShiftKnowledge!$A$2:$A$9,ShiftKnowledge!$H$2:$H$9,""),IFERROR(INDEX(ShiftKnowledge!$H$2:$H$9,MATCH($B219&amp;"|"&amp;$D219,ShiftKnowledge!$A$2:$A$9,0)),"")))</f>
        <v/>
      </c>
      <c r="L219" s="4">
        <f>IF($D219="Custom","",IFERROR(XLOOKUP($B219&amp;"|"&amp;$D219,ShiftKnowledge!$A$2:$A$9,ShiftKnowledge!$I$2:$I$9,""),IFERROR(INDEX(ShiftKnowledge!$I$2:$I$9,MATCH($B219&amp;"|"&amp;$D219,ShiftKnowledge!$A$2:$A$9,0)),"")))</f>
        <v/>
      </c>
      <c r="M219" s="4" t="inlineStr"/>
    </row>
    <row r="220" ht="20" customHeight="1">
      <c r="A220" s="6" t="inlineStr">
        <is>
          <t>12/11/2025</t>
        </is>
      </c>
      <c r="B220" s="6" t="inlineStr">
        <is>
          <t>Orthopaedics</t>
        </is>
      </c>
      <c r="C220" s="7" t="inlineStr">
        <is>
          <t>Dr. Vinod Ramlal</t>
        </is>
      </c>
      <c r="D220" s="6" t="inlineStr"/>
      <c r="E220" s="6">
        <f>IF($D220="Custom","",IFERROR(XLOOKUP($B220&amp;"|"&amp;$D220,ShiftKnowledge!$A$2:$A$9,ShiftKnowledge!$D$2:$D$9,""),IFERROR(INDEX(ShiftKnowledge!$D$2:$D$9,MATCH($B220&amp;"|"&amp;$D220,ShiftKnowledge!$A$2:$A$9,0)),"")))</f>
        <v/>
      </c>
      <c r="F220" s="6" t="inlineStr"/>
      <c r="G220" s="6">
        <f>IF(AND($I220="",$L220=""),"",IFERROR(VALUE($I220),0)+IFERROR(VALUE($L220),0))</f>
        <v/>
      </c>
      <c r="H220" s="6">
        <f>IF($D220="Custom","",IFERROR(XLOOKUP($B220&amp;"|"&amp;$D220,ShiftKnowledge!$A$2:$A$9,ShiftKnowledge!$E$2:$E$9,""),IFERROR(INDEX(ShiftKnowledge!$E$2:$E$9,MATCH($B220&amp;"|"&amp;$D220,ShiftKnowledge!$A$2:$A$9,0)),"")))</f>
        <v/>
      </c>
      <c r="I220" s="6">
        <f>IF($D220="Custom","",IFERROR(XLOOKUP($B220&amp;"|"&amp;$D220,ShiftKnowledge!$A$2:$A$9,ShiftKnowledge!$F$2:$F$9,""),IFERROR(INDEX(ShiftKnowledge!$F$2:$F$9,MATCH($B220&amp;"|"&amp;$D220,ShiftKnowledge!$A$2:$A$9,0)),"")))</f>
        <v/>
      </c>
      <c r="J220" s="6">
        <f>IF($D220="Custom","",IFERROR(XLOOKUP($B220&amp;"|"&amp;$D220,ShiftKnowledge!$A$2:$A$9,ShiftKnowledge!$G$2:$G$9,""),IFERROR(INDEX(ShiftKnowledge!$G$2:$G$9,MATCH($B220&amp;"|"&amp;$D220,ShiftKnowledge!$A$2:$A$9,0)),"")))</f>
        <v/>
      </c>
      <c r="K220" s="6">
        <f>IF($D220="Custom","",IFERROR(XLOOKUP($B220&amp;"|"&amp;$D220,ShiftKnowledge!$A$2:$A$9,ShiftKnowledge!$H$2:$H$9,""),IFERROR(INDEX(ShiftKnowledge!$H$2:$H$9,MATCH($B220&amp;"|"&amp;$D220,ShiftKnowledge!$A$2:$A$9,0)),"")))</f>
        <v/>
      </c>
      <c r="L220" s="6">
        <f>IF($D220="Custom","",IFERROR(XLOOKUP($B220&amp;"|"&amp;$D220,ShiftKnowledge!$A$2:$A$9,ShiftKnowledge!$I$2:$I$9,""),IFERROR(INDEX(ShiftKnowledge!$I$2:$I$9,MATCH($B220&amp;"|"&amp;$D220,ShiftKnowledge!$A$2:$A$9,0)),"")))</f>
        <v/>
      </c>
      <c r="M220" s="6" t="inlineStr"/>
    </row>
    <row r="221" ht="20" customHeight="1">
      <c r="A221" s="4" t="inlineStr">
        <is>
          <t>12/11/2025</t>
        </is>
      </c>
      <c r="B221" s="4" t="inlineStr">
        <is>
          <t>Paediatrics</t>
        </is>
      </c>
      <c r="C221" s="5" t="inlineStr">
        <is>
          <t>Dr. Yi Nwe Soe</t>
        </is>
      </c>
      <c r="D221" s="4" t="inlineStr"/>
      <c r="E221" s="4">
        <f>IF($D221="Custom","",IFERROR(XLOOKUP($B221&amp;"|"&amp;$D221,ShiftKnowledge!$A$2:$A$9,ShiftKnowledge!$D$2:$D$9,""),IFERROR(INDEX(ShiftKnowledge!$D$2:$D$9,MATCH($B221&amp;"|"&amp;$D221,ShiftKnowledge!$A$2:$A$9,0)),"")))</f>
        <v/>
      </c>
      <c r="F221" s="4" t="inlineStr"/>
      <c r="G221" s="4">
        <f>IF(AND($I221="",$L221=""),"",IFERROR(VALUE($I221),0)+IFERROR(VALUE($L221),0))</f>
        <v/>
      </c>
      <c r="H221" s="4">
        <f>IF($D221="Custom","",IFERROR(XLOOKUP($B221&amp;"|"&amp;$D221,ShiftKnowledge!$A$2:$A$9,ShiftKnowledge!$E$2:$E$9,""),IFERROR(INDEX(ShiftKnowledge!$E$2:$E$9,MATCH($B221&amp;"|"&amp;$D221,ShiftKnowledge!$A$2:$A$9,0)),"")))</f>
        <v/>
      </c>
      <c r="I221" s="4">
        <f>IF($D221="Custom","",IFERROR(XLOOKUP($B221&amp;"|"&amp;$D221,ShiftKnowledge!$A$2:$A$9,ShiftKnowledge!$F$2:$F$9,""),IFERROR(INDEX(ShiftKnowledge!$F$2:$F$9,MATCH($B221&amp;"|"&amp;$D221,ShiftKnowledge!$A$2:$A$9,0)),"")))</f>
        <v/>
      </c>
      <c r="J221" s="4">
        <f>IF($D221="Custom","",IFERROR(XLOOKUP($B221&amp;"|"&amp;$D221,ShiftKnowledge!$A$2:$A$9,ShiftKnowledge!$G$2:$G$9,""),IFERROR(INDEX(ShiftKnowledge!$G$2:$G$9,MATCH($B221&amp;"|"&amp;$D221,ShiftKnowledge!$A$2:$A$9,0)),"")))</f>
        <v/>
      </c>
      <c r="K221" s="4">
        <f>IF($D221="Custom","",IFERROR(XLOOKUP($B221&amp;"|"&amp;$D221,ShiftKnowledge!$A$2:$A$9,ShiftKnowledge!$H$2:$H$9,""),IFERROR(INDEX(ShiftKnowledge!$H$2:$H$9,MATCH($B221&amp;"|"&amp;$D221,ShiftKnowledge!$A$2:$A$9,0)),"")))</f>
        <v/>
      </c>
      <c r="L221" s="4">
        <f>IF($D221="Custom","",IFERROR(XLOOKUP($B221&amp;"|"&amp;$D221,ShiftKnowledge!$A$2:$A$9,ShiftKnowledge!$I$2:$I$9,""),IFERROR(INDEX(ShiftKnowledge!$I$2:$I$9,MATCH($B221&amp;"|"&amp;$D221,ShiftKnowledge!$A$2:$A$9,0)),"")))</f>
        <v/>
      </c>
      <c r="M221" s="4" t="inlineStr"/>
    </row>
    <row r="222" ht="20" customHeight="1">
      <c r="A222" s="6" t="inlineStr">
        <is>
          <t>12/11/2025</t>
        </is>
      </c>
      <c r="B222" s="6" t="inlineStr">
        <is>
          <t>Gynaecology</t>
        </is>
      </c>
      <c r="C222" s="7" t="inlineStr">
        <is>
          <t>Dr. Zarina Kabilova</t>
        </is>
      </c>
      <c r="D222" s="6" t="inlineStr"/>
      <c r="E222" s="6">
        <f>IF($D222="Custom","",IFERROR(XLOOKUP($B222&amp;"|"&amp;$D222,ShiftKnowledge!$A$2:$A$9,ShiftKnowledge!$D$2:$D$9,""),IFERROR(INDEX(ShiftKnowledge!$D$2:$D$9,MATCH($B222&amp;"|"&amp;$D222,ShiftKnowledge!$A$2:$A$9,0)),"")))</f>
        <v/>
      </c>
      <c r="F222" s="6" t="inlineStr"/>
      <c r="G222" s="6">
        <f>IF(AND($I222="",$L222=""),"",IFERROR(VALUE($I222),0)+IFERROR(VALUE($L222),0))</f>
        <v/>
      </c>
      <c r="H222" s="6">
        <f>IF($D222="Custom","",IFERROR(XLOOKUP($B222&amp;"|"&amp;$D222,ShiftKnowledge!$A$2:$A$9,ShiftKnowledge!$E$2:$E$9,""),IFERROR(INDEX(ShiftKnowledge!$E$2:$E$9,MATCH($B222&amp;"|"&amp;$D222,ShiftKnowledge!$A$2:$A$9,0)),"")))</f>
        <v/>
      </c>
      <c r="I222" s="6">
        <f>IF($D222="Custom","",IFERROR(XLOOKUP($B222&amp;"|"&amp;$D222,ShiftKnowledge!$A$2:$A$9,ShiftKnowledge!$F$2:$F$9,""),IFERROR(INDEX(ShiftKnowledge!$F$2:$F$9,MATCH($B222&amp;"|"&amp;$D222,ShiftKnowledge!$A$2:$A$9,0)),"")))</f>
        <v/>
      </c>
      <c r="J222" s="6">
        <f>IF($D222="Custom","",IFERROR(XLOOKUP($B222&amp;"|"&amp;$D222,ShiftKnowledge!$A$2:$A$9,ShiftKnowledge!$G$2:$G$9,""),IFERROR(INDEX(ShiftKnowledge!$G$2:$G$9,MATCH($B222&amp;"|"&amp;$D222,ShiftKnowledge!$A$2:$A$9,0)),"")))</f>
        <v/>
      </c>
      <c r="K222" s="6">
        <f>IF($D222="Custom","",IFERROR(XLOOKUP($B222&amp;"|"&amp;$D222,ShiftKnowledge!$A$2:$A$9,ShiftKnowledge!$H$2:$H$9,""),IFERROR(INDEX(ShiftKnowledge!$H$2:$H$9,MATCH($B222&amp;"|"&amp;$D222,ShiftKnowledge!$A$2:$A$9,0)),"")))</f>
        <v/>
      </c>
      <c r="L222" s="6">
        <f>IF($D222="Custom","",IFERROR(XLOOKUP($B222&amp;"|"&amp;$D222,ShiftKnowledge!$A$2:$A$9,ShiftKnowledge!$I$2:$I$9,""),IFERROR(INDEX(ShiftKnowledge!$I$2:$I$9,MATCH($B222&amp;"|"&amp;$D222,ShiftKnowledge!$A$2:$A$9,0)),"")))</f>
        <v/>
      </c>
      <c r="M222" s="6" t="inlineStr"/>
    </row>
    <row r="223" ht="20" customHeight="1">
      <c r="A223" s="4" t="inlineStr">
        <is>
          <t>13/11/2025</t>
        </is>
      </c>
      <c r="B223" s="4" t="inlineStr">
        <is>
          <t>Orthopaedics</t>
        </is>
      </c>
      <c r="C223" s="5" t="inlineStr">
        <is>
          <t>Dr. Ahmed Azim Abdul Shakoor</t>
        </is>
      </c>
      <c r="D223" s="4" t="inlineStr"/>
      <c r="E223" s="4">
        <f>IF($D223="Custom","",IFERROR(XLOOKUP($B223&amp;"|"&amp;$D223,ShiftKnowledge!$A$2:$A$9,ShiftKnowledge!$D$2:$D$9,""),IFERROR(INDEX(ShiftKnowledge!$D$2:$D$9,MATCH($B223&amp;"|"&amp;$D223,ShiftKnowledge!$A$2:$A$9,0)),"")))</f>
        <v/>
      </c>
      <c r="F223" s="4" t="inlineStr"/>
      <c r="G223" s="4">
        <f>IF(AND($I223="",$L223=""),"",IFERROR(VALUE($I223),0)+IFERROR(VALUE($L223),0))</f>
        <v/>
      </c>
      <c r="H223" s="4">
        <f>IF($D223="Custom","",IFERROR(XLOOKUP($B223&amp;"|"&amp;$D223,ShiftKnowledge!$A$2:$A$9,ShiftKnowledge!$E$2:$E$9,""),IFERROR(INDEX(ShiftKnowledge!$E$2:$E$9,MATCH($B223&amp;"|"&amp;$D223,ShiftKnowledge!$A$2:$A$9,0)),"")))</f>
        <v/>
      </c>
      <c r="I223" s="4">
        <f>IF($D223="Custom","",IFERROR(XLOOKUP($B223&amp;"|"&amp;$D223,ShiftKnowledge!$A$2:$A$9,ShiftKnowledge!$F$2:$F$9,""),IFERROR(INDEX(ShiftKnowledge!$F$2:$F$9,MATCH($B223&amp;"|"&amp;$D223,ShiftKnowledge!$A$2:$A$9,0)),"")))</f>
        <v/>
      </c>
      <c r="J223" s="4">
        <f>IF($D223="Custom","",IFERROR(XLOOKUP($B223&amp;"|"&amp;$D223,ShiftKnowledge!$A$2:$A$9,ShiftKnowledge!$G$2:$G$9,""),IFERROR(INDEX(ShiftKnowledge!$G$2:$G$9,MATCH($B223&amp;"|"&amp;$D223,ShiftKnowledge!$A$2:$A$9,0)),"")))</f>
        <v/>
      </c>
      <c r="K223" s="4">
        <f>IF($D223="Custom","",IFERROR(XLOOKUP($B223&amp;"|"&amp;$D223,ShiftKnowledge!$A$2:$A$9,ShiftKnowledge!$H$2:$H$9,""),IFERROR(INDEX(ShiftKnowledge!$H$2:$H$9,MATCH($B223&amp;"|"&amp;$D223,ShiftKnowledge!$A$2:$A$9,0)),"")))</f>
        <v/>
      </c>
      <c r="L223" s="4">
        <f>IF($D223="Custom","",IFERROR(XLOOKUP($B223&amp;"|"&amp;$D223,ShiftKnowledge!$A$2:$A$9,ShiftKnowledge!$I$2:$I$9,""),IFERROR(INDEX(ShiftKnowledge!$I$2:$I$9,MATCH($B223&amp;"|"&amp;$D223,ShiftKnowledge!$A$2:$A$9,0)),"")))</f>
        <v/>
      </c>
      <c r="M223" s="4" t="inlineStr"/>
    </row>
    <row r="224" ht="20" customHeight="1">
      <c r="A224" s="6" t="inlineStr">
        <is>
          <t>13/11/2025</t>
        </is>
      </c>
      <c r="B224" s="6" t="inlineStr">
        <is>
          <t>Dermatology</t>
        </is>
      </c>
      <c r="C224" s="7" t="inlineStr">
        <is>
          <t>Dr. Ahmed Fekry Bahyeldin Khalafallah</t>
        </is>
      </c>
      <c r="D224" s="6" t="inlineStr"/>
      <c r="E224" s="6">
        <f>IF($D224="Custom","",IFERROR(XLOOKUP($B224&amp;"|"&amp;$D224,ShiftKnowledge!$A$2:$A$9,ShiftKnowledge!$D$2:$D$9,""),IFERROR(INDEX(ShiftKnowledge!$D$2:$D$9,MATCH($B224&amp;"|"&amp;$D224,ShiftKnowledge!$A$2:$A$9,0)),"")))</f>
        <v/>
      </c>
      <c r="F224" s="6" t="inlineStr"/>
      <c r="G224" s="6">
        <f>IF(AND($I224="",$L224=""),"",IFERROR(VALUE($I224),0)+IFERROR(VALUE($L224),0))</f>
        <v/>
      </c>
      <c r="H224" s="6">
        <f>IF($D224="Custom","",IFERROR(XLOOKUP($B224&amp;"|"&amp;$D224,ShiftKnowledge!$A$2:$A$9,ShiftKnowledge!$E$2:$E$9,""),IFERROR(INDEX(ShiftKnowledge!$E$2:$E$9,MATCH($B224&amp;"|"&amp;$D224,ShiftKnowledge!$A$2:$A$9,0)),"")))</f>
        <v/>
      </c>
      <c r="I224" s="6">
        <f>IF($D224="Custom","",IFERROR(XLOOKUP($B224&amp;"|"&amp;$D224,ShiftKnowledge!$A$2:$A$9,ShiftKnowledge!$F$2:$F$9,""),IFERROR(INDEX(ShiftKnowledge!$F$2:$F$9,MATCH($B224&amp;"|"&amp;$D224,ShiftKnowledge!$A$2:$A$9,0)),"")))</f>
        <v/>
      </c>
      <c r="J224" s="6">
        <f>IF($D224="Custom","",IFERROR(XLOOKUP($B224&amp;"|"&amp;$D224,ShiftKnowledge!$A$2:$A$9,ShiftKnowledge!$G$2:$G$9,""),IFERROR(INDEX(ShiftKnowledge!$G$2:$G$9,MATCH($B224&amp;"|"&amp;$D224,ShiftKnowledge!$A$2:$A$9,0)),"")))</f>
        <v/>
      </c>
      <c r="K224" s="6">
        <f>IF($D224="Custom","",IFERROR(XLOOKUP($B224&amp;"|"&amp;$D224,ShiftKnowledge!$A$2:$A$9,ShiftKnowledge!$H$2:$H$9,""),IFERROR(INDEX(ShiftKnowledge!$H$2:$H$9,MATCH($B224&amp;"|"&amp;$D224,ShiftKnowledge!$A$2:$A$9,0)),"")))</f>
        <v/>
      </c>
      <c r="L224" s="6">
        <f>IF($D224="Custom","",IFERROR(XLOOKUP($B224&amp;"|"&amp;$D224,ShiftKnowledge!$A$2:$A$9,ShiftKnowledge!$I$2:$I$9,""),IFERROR(INDEX(ShiftKnowledge!$I$2:$I$9,MATCH($B224&amp;"|"&amp;$D224,ShiftKnowledge!$A$2:$A$9,0)),"")))</f>
        <v/>
      </c>
      <c r="M224" s="6" t="inlineStr"/>
    </row>
    <row r="225" ht="20" customHeight="1">
      <c r="A225" s="4" t="inlineStr">
        <is>
          <t>13/11/2025</t>
        </is>
      </c>
      <c r="B225" s="4" t="inlineStr">
        <is>
          <t>Pulmonology</t>
        </is>
      </c>
      <c r="C225" s="5" t="inlineStr">
        <is>
          <t>Dr. Ahmed Gamal Youssef Meselhi</t>
        </is>
      </c>
      <c r="D225" s="4" t="inlineStr"/>
      <c r="E225" s="4">
        <f>IF($D225="Custom","",IFERROR(XLOOKUP($B225&amp;"|"&amp;$D225,ShiftKnowledge!$A$2:$A$9,ShiftKnowledge!$D$2:$D$9,""),IFERROR(INDEX(ShiftKnowledge!$D$2:$D$9,MATCH($B225&amp;"|"&amp;$D225,ShiftKnowledge!$A$2:$A$9,0)),"")))</f>
        <v/>
      </c>
      <c r="F225" s="4" t="inlineStr"/>
      <c r="G225" s="4">
        <f>IF(AND($I225="",$L225=""),"",IFERROR(VALUE($I225),0)+IFERROR(VALUE($L225),0))</f>
        <v/>
      </c>
      <c r="H225" s="4">
        <f>IF($D225="Custom","",IFERROR(XLOOKUP($B225&amp;"|"&amp;$D225,ShiftKnowledge!$A$2:$A$9,ShiftKnowledge!$E$2:$E$9,""),IFERROR(INDEX(ShiftKnowledge!$E$2:$E$9,MATCH($B225&amp;"|"&amp;$D225,ShiftKnowledge!$A$2:$A$9,0)),"")))</f>
        <v/>
      </c>
      <c r="I225" s="4">
        <f>IF($D225="Custom","",IFERROR(XLOOKUP($B225&amp;"|"&amp;$D225,ShiftKnowledge!$A$2:$A$9,ShiftKnowledge!$F$2:$F$9,""),IFERROR(INDEX(ShiftKnowledge!$F$2:$F$9,MATCH($B225&amp;"|"&amp;$D225,ShiftKnowledge!$A$2:$A$9,0)),"")))</f>
        <v/>
      </c>
      <c r="J225" s="4">
        <f>IF($D225="Custom","",IFERROR(XLOOKUP($B225&amp;"|"&amp;$D225,ShiftKnowledge!$A$2:$A$9,ShiftKnowledge!$G$2:$G$9,""),IFERROR(INDEX(ShiftKnowledge!$G$2:$G$9,MATCH($B225&amp;"|"&amp;$D225,ShiftKnowledge!$A$2:$A$9,0)),"")))</f>
        <v/>
      </c>
      <c r="K225" s="4">
        <f>IF($D225="Custom","",IFERROR(XLOOKUP($B225&amp;"|"&amp;$D225,ShiftKnowledge!$A$2:$A$9,ShiftKnowledge!$H$2:$H$9,""),IFERROR(INDEX(ShiftKnowledge!$H$2:$H$9,MATCH($B225&amp;"|"&amp;$D225,ShiftKnowledge!$A$2:$A$9,0)),"")))</f>
        <v/>
      </c>
      <c r="L225" s="4">
        <f>IF($D225="Custom","",IFERROR(XLOOKUP($B225&amp;"|"&amp;$D225,ShiftKnowledge!$A$2:$A$9,ShiftKnowledge!$I$2:$I$9,""),IFERROR(INDEX(ShiftKnowledge!$I$2:$I$9,MATCH($B225&amp;"|"&amp;$D225,ShiftKnowledge!$A$2:$A$9,0)),"")))</f>
        <v/>
      </c>
      <c r="M225" s="4" t="inlineStr"/>
    </row>
    <row r="226" ht="20" customHeight="1">
      <c r="A226" s="6" t="inlineStr">
        <is>
          <t>13/11/2025</t>
        </is>
      </c>
      <c r="B226" s="6" t="inlineStr">
        <is>
          <t>Dental</t>
        </is>
      </c>
      <c r="C226" s="7" t="inlineStr">
        <is>
          <t>Dr. Aishath Suha Ali</t>
        </is>
      </c>
      <c r="D226" s="6" t="inlineStr"/>
      <c r="E226" s="6">
        <f>IF($D226="Custom","",IFERROR(XLOOKUP($B226&amp;"|"&amp;$D226,ShiftKnowledge!$A$2:$A$9,ShiftKnowledge!$D$2:$D$9,""),IFERROR(INDEX(ShiftKnowledge!$D$2:$D$9,MATCH($B226&amp;"|"&amp;$D226,ShiftKnowledge!$A$2:$A$9,0)),"")))</f>
        <v/>
      </c>
      <c r="F226" s="6" t="inlineStr"/>
      <c r="G226" s="6">
        <f>IF(AND($I226="",$L226=""),"",IFERROR(VALUE($I226),0)+IFERROR(VALUE($L226),0))</f>
        <v/>
      </c>
      <c r="H226" s="6">
        <f>IF($D226="Custom","",IFERROR(XLOOKUP($B226&amp;"|"&amp;$D226,ShiftKnowledge!$A$2:$A$9,ShiftKnowledge!$E$2:$E$9,""),IFERROR(INDEX(ShiftKnowledge!$E$2:$E$9,MATCH($B226&amp;"|"&amp;$D226,ShiftKnowledge!$A$2:$A$9,0)),"")))</f>
        <v/>
      </c>
      <c r="I226" s="6">
        <f>IF($D226="Custom","",IFERROR(XLOOKUP($B226&amp;"|"&amp;$D226,ShiftKnowledge!$A$2:$A$9,ShiftKnowledge!$F$2:$F$9,""),IFERROR(INDEX(ShiftKnowledge!$F$2:$F$9,MATCH($B226&amp;"|"&amp;$D226,ShiftKnowledge!$A$2:$A$9,0)),"")))</f>
        <v/>
      </c>
      <c r="J226" s="6">
        <f>IF($D226="Custom","",IFERROR(XLOOKUP($B226&amp;"|"&amp;$D226,ShiftKnowledge!$A$2:$A$9,ShiftKnowledge!$G$2:$G$9,""),IFERROR(INDEX(ShiftKnowledge!$G$2:$G$9,MATCH($B226&amp;"|"&amp;$D226,ShiftKnowledge!$A$2:$A$9,0)),"")))</f>
        <v/>
      </c>
      <c r="K226" s="6">
        <f>IF($D226="Custom","",IFERROR(XLOOKUP($B226&amp;"|"&amp;$D226,ShiftKnowledge!$A$2:$A$9,ShiftKnowledge!$H$2:$H$9,""),IFERROR(INDEX(ShiftKnowledge!$H$2:$H$9,MATCH($B226&amp;"|"&amp;$D226,ShiftKnowledge!$A$2:$A$9,0)),"")))</f>
        <v/>
      </c>
      <c r="L226" s="6">
        <f>IF($D226="Custom","",IFERROR(XLOOKUP($B226&amp;"|"&amp;$D226,ShiftKnowledge!$A$2:$A$9,ShiftKnowledge!$I$2:$I$9,""),IFERROR(INDEX(ShiftKnowledge!$I$2:$I$9,MATCH($B226&amp;"|"&amp;$D226,ShiftKnowledge!$A$2:$A$9,0)),"")))</f>
        <v/>
      </c>
      <c r="M226" s="6" t="inlineStr"/>
    </row>
    <row r="227" ht="20" customHeight="1">
      <c r="A227" s="4" t="inlineStr">
        <is>
          <t>13/11/2025</t>
        </is>
      </c>
      <c r="B227" s="4" t="inlineStr">
        <is>
          <t>Paediatrics</t>
        </is>
      </c>
      <c r="C227" s="5" t="inlineStr">
        <is>
          <t>Dr. Alaa Adel Ahmed Sayed Ahmed Sobeih Elamawey</t>
        </is>
      </c>
      <c r="D227" s="4" t="inlineStr"/>
      <c r="E227" s="4">
        <f>IF($D227="Custom","",IFERROR(XLOOKUP($B227&amp;"|"&amp;$D227,ShiftKnowledge!$A$2:$A$9,ShiftKnowledge!$D$2:$D$9,""),IFERROR(INDEX(ShiftKnowledge!$D$2:$D$9,MATCH($B227&amp;"|"&amp;$D227,ShiftKnowledge!$A$2:$A$9,0)),"")))</f>
        <v/>
      </c>
      <c r="F227" s="4" t="inlineStr"/>
      <c r="G227" s="4">
        <f>IF(AND($I227="",$L227=""),"",IFERROR(VALUE($I227),0)+IFERROR(VALUE($L227),0))</f>
        <v/>
      </c>
      <c r="H227" s="4">
        <f>IF($D227="Custom","",IFERROR(XLOOKUP($B227&amp;"|"&amp;$D227,ShiftKnowledge!$A$2:$A$9,ShiftKnowledge!$E$2:$E$9,""),IFERROR(INDEX(ShiftKnowledge!$E$2:$E$9,MATCH($B227&amp;"|"&amp;$D227,ShiftKnowledge!$A$2:$A$9,0)),"")))</f>
        <v/>
      </c>
      <c r="I227" s="4">
        <f>IF($D227="Custom","",IFERROR(XLOOKUP($B227&amp;"|"&amp;$D227,ShiftKnowledge!$A$2:$A$9,ShiftKnowledge!$F$2:$F$9,""),IFERROR(INDEX(ShiftKnowledge!$F$2:$F$9,MATCH($B227&amp;"|"&amp;$D227,ShiftKnowledge!$A$2:$A$9,0)),"")))</f>
        <v/>
      </c>
      <c r="J227" s="4">
        <f>IF($D227="Custom","",IFERROR(XLOOKUP($B227&amp;"|"&amp;$D227,ShiftKnowledge!$A$2:$A$9,ShiftKnowledge!$G$2:$G$9,""),IFERROR(INDEX(ShiftKnowledge!$G$2:$G$9,MATCH($B227&amp;"|"&amp;$D227,ShiftKnowledge!$A$2:$A$9,0)),"")))</f>
        <v/>
      </c>
      <c r="K227" s="4">
        <f>IF($D227="Custom","",IFERROR(XLOOKUP($B227&amp;"|"&amp;$D227,ShiftKnowledge!$A$2:$A$9,ShiftKnowledge!$H$2:$H$9,""),IFERROR(INDEX(ShiftKnowledge!$H$2:$H$9,MATCH($B227&amp;"|"&amp;$D227,ShiftKnowledge!$A$2:$A$9,0)),"")))</f>
        <v/>
      </c>
      <c r="L227" s="4">
        <f>IF($D227="Custom","",IFERROR(XLOOKUP($B227&amp;"|"&amp;$D227,ShiftKnowledge!$A$2:$A$9,ShiftKnowledge!$I$2:$I$9,""),IFERROR(INDEX(ShiftKnowledge!$I$2:$I$9,MATCH($B227&amp;"|"&amp;$D227,ShiftKnowledge!$A$2:$A$9,0)),"")))</f>
        <v/>
      </c>
      <c r="M227" s="4" t="inlineStr"/>
    </row>
    <row r="228" ht="20" customHeight="1">
      <c r="A228" s="6" t="inlineStr">
        <is>
          <t>13/11/2025</t>
        </is>
      </c>
      <c r="B228" s="6" t="inlineStr">
        <is>
          <t>Paediatrics</t>
        </is>
      </c>
      <c r="C228" s="7" t="inlineStr">
        <is>
          <t>Dr. Alisha Joshi</t>
        </is>
      </c>
      <c r="D228" s="6" t="inlineStr"/>
      <c r="E228" s="6">
        <f>IF($D228="Custom","",IFERROR(XLOOKUP($B228&amp;"|"&amp;$D228,ShiftKnowledge!$A$2:$A$9,ShiftKnowledge!$D$2:$D$9,""),IFERROR(INDEX(ShiftKnowledge!$D$2:$D$9,MATCH($B228&amp;"|"&amp;$D228,ShiftKnowledge!$A$2:$A$9,0)),"")))</f>
        <v/>
      </c>
      <c r="F228" s="6" t="inlineStr"/>
      <c r="G228" s="6">
        <f>IF(AND($I228="",$L228=""),"",IFERROR(VALUE($I228),0)+IFERROR(VALUE($L228),0))</f>
        <v/>
      </c>
      <c r="H228" s="6">
        <f>IF($D228="Custom","",IFERROR(XLOOKUP($B228&amp;"|"&amp;$D228,ShiftKnowledge!$A$2:$A$9,ShiftKnowledge!$E$2:$E$9,""),IFERROR(INDEX(ShiftKnowledge!$E$2:$E$9,MATCH($B228&amp;"|"&amp;$D228,ShiftKnowledge!$A$2:$A$9,0)),"")))</f>
        <v/>
      </c>
      <c r="I228" s="6">
        <f>IF($D228="Custom","",IFERROR(XLOOKUP($B228&amp;"|"&amp;$D228,ShiftKnowledge!$A$2:$A$9,ShiftKnowledge!$F$2:$F$9,""),IFERROR(INDEX(ShiftKnowledge!$F$2:$F$9,MATCH($B228&amp;"|"&amp;$D228,ShiftKnowledge!$A$2:$A$9,0)),"")))</f>
        <v/>
      </c>
      <c r="J228" s="6">
        <f>IF($D228="Custom","",IFERROR(XLOOKUP($B228&amp;"|"&amp;$D228,ShiftKnowledge!$A$2:$A$9,ShiftKnowledge!$G$2:$G$9,""),IFERROR(INDEX(ShiftKnowledge!$G$2:$G$9,MATCH($B228&amp;"|"&amp;$D228,ShiftKnowledge!$A$2:$A$9,0)),"")))</f>
        <v/>
      </c>
      <c r="K228" s="6">
        <f>IF($D228="Custom","",IFERROR(XLOOKUP($B228&amp;"|"&amp;$D228,ShiftKnowledge!$A$2:$A$9,ShiftKnowledge!$H$2:$H$9,""),IFERROR(INDEX(ShiftKnowledge!$H$2:$H$9,MATCH($B228&amp;"|"&amp;$D228,ShiftKnowledge!$A$2:$A$9,0)),"")))</f>
        <v/>
      </c>
      <c r="L228" s="6">
        <f>IF($D228="Custom","",IFERROR(XLOOKUP($B228&amp;"|"&amp;$D228,ShiftKnowledge!$A$2:$A$9,ShiftKnowledge!$I$2:$I$9,""),IFERROR(INDEX(ShiftKnowledge!$I$2:$I$9,MATCH($B228&amp;"|"&amp;$D228,ShiftKnowledge!$A$2:$A$9,0)),"")))</f>
        <v/>
      </c>
      <c r="M228" s="6" t="inlineStr"/>
    </row>
    <row r="229" ht="20" customHeight="1">
      <c r="A229" s="4" t="inlineStr">
        <is>
          <t>13/11/2025</t>
        </is>
      </c>
      <c r="B229" s="4" t="inlineStr">
        <is>
          <t>Dental</t>
        </is>
      </c>
      <c r="C229" s="5" t="inlineStr">
        <is>
          <t>Dr. Aminath Dhunyana</t>
        </is>
      </c>
      <c r="D229" s="4" t="inlineStr"/>
      <c r="E229" s="4">
        <f>IF($D229="Custom","",IFERROR(XLOOKUP($B229&amp;"|"&amp;$D229,ShiftKnowledge!$A$2:$A$9,ShiftKnowledge!$D$2:$D$9,""),IFERROR(INDEX(ShiftKnowledge!$D$2:$D$9,MATCH($B229&amp;"|"&amp;$D229,ShiftKnowledge!$A$2:$A$9,0)),"")))</f>
        <v/>
      </c>
      <c r="F229" s="4" t="inlineStr"/>
      <c r="G229" s="4">
        <f>IF(AND($I229="",$L229=""),"",IFERROR(VALUE($I229),0)+IFERROR(VALUE($L229),0))</f>
        <v/>
      </c>
      <c r="H229" s="4">
        <f>IF($D229="Custom","",IFERROR(XLOOKUP($B229&amp;"|"&amp;$D229,ShiftKnowledge!$A$2:$A$9,ShiftKnowledge!$E$2:$E$9,""),IFERROR(INDEX(ShiftKnowledge!$E$2:$E$9,MATCH($B229&amp;"|"&amp;$D229,ShiftKnowledge!$A$2:$A$9,0)),"")))</f>
        <v/>
      </c>
      <c r="I229" s="4">
        <f>IF($D229="Custom","",IFERROR(XLOOKUP($B229&amp;"|"&amp;$D229,ShiftKnowledge!$A$2:$A$9,ShiftKnowledge!$F$2:$F$9,""),IFERROR(INDEX(ShiftKnowledge!$F$2:$F$9,MATCH($B229&amp;"|"&amp;$D229,ShiftKnowledge!$A$2:$A$9,0)),"")))</f>
        <v/>
      </c>
      <c r="J229" s="4">
        <f>IF($D229="Custom","",IFERROR(XLOOKUP($B229&amp;"|"&amp;$D229,ShiftKnowledge!$A$2:$A$9,ShiftKnowledge!$G$2:$G$9,""),IFERROR(INDEX(ShiftKnowledge!$G$2:$G$9,MATCH($B229&amp;"|"&amp;$D229,ShiftKnowledge!$A$2:$A$9,0)),"")))</f>
        <v/>
      </c>
      <c r="K229" s="4">
        <f>IF($D229="Custom","",IFERROR(XLOOKUP($B229&amp;"|"&amp;$D229,ShiftKnowledge!$A$2:$A$9,ShiftKnowledge!$H$2:$H$9,""),IFERROR(INDEX(ShiftKnowledge!$H$2:$H$9,MATCH($B229&amp;"|"&amp;$D229,ShiftKnowledge!$A$2:$A$9,0)),"")))</f>
        <v/>
      </c>
      <c r="L229" s="4">
        <f>IF($D229="Custom","",IFERROR(XLOOKUP($B229&amp;"|"&amp;$D229,ShiftKnowledge!$A$2:$A$9,ShiftKnowledge!$I$2:$I$9,""),IFERROR(INDEX(ShiftKnowledge!$I$2:$I$9,MATCH($B229&amp;"|"&amp;$D229,ShiftKnowledge!$A$2:$A$9,0)),"")))</f>
        <v/>
      </c>
      <c r="M229" s="4" t="inlineStr"/>
    </row>
    <row r="230" ht="20" customHeight="1">
      <c r="A230" s="6" t="inlineStr">
        <is>
          <t>13/11/2025</t>
        </is>
      </c>
      <c r="B230" s="6" t="inlineStr">
        <is>
          <t>Gynaecology</t>
        </is>
      </c>
      <c r="C230" s="7" t="inlineStr">
        <is>
          <t>Dr. Aminath Juhaina</t>
        </is>
      </c>
      <c r="D230" s="6" t="inlineStr"/>
      <c r="E230" s="6">
        <f>IF($D230="Custom","",IFERROR(XLOOKUP($B230&amp;"|"&amp;$D230,ShiftKnowledge!$A$2:$A$9,ShiftKnowledge!$D$2:$D$9,""),IFERROR(INDEX(ShiftKnowledge!$D$2:$D$9,MATCH($B230&amp;"|"&amp;$D230,ShiftKnowledge!$A$2:$A$9,0)),"")))</f>
        <v/>
      </c>
      <c r="F230" s="6" t="inlineStr"/>
      <c r="G230" s="6">
        <f>IF(AND($I230="",$L230=""),"",IFERROR(VALUE($I230),0)+IFERROR(VALUE($L230),0))</f>
        <v/>
      </c>
      <c r="H230" s="6">
        <f>IF($D230="Custom","",IFERROR(XLOOKUP($B230&amp;"|"&amp;$D230,ShiftKnowledge!$A$2:$A$9,ShiftKnowledge!$E$2:$E$9,""),IFERROR(INDEX(ShiftKnowledge!$E$2:$E$9,MATCH($B230&amp;"|"&amp;$D230,ShiftKnowledge!$A$2:$A$9,0)),"")))</f>
        <v/>
      </c>
      <c r="I230" s="6">
        <f>IF($D230="Custom","",IFERROR(XLOOKUP($B230&amp;"|"&amp;$D230,ShiftKnowledge!$A$2:$A$9,ShiftKnowledge!$F$2:$F$9,""),IFERROR(INDEX(ShiftKnowledge!$F$2:$F$9,MATCH($B230&amp;"|"&amp;$D230,ShiftKnowledge!$A$2:$A$9,0)),"")))</f>
        <v/>
      </c>
      <c r="J230" s="6">
        <f>IF($D230="Custom","",IFERROR(XLOOKUP($B230&amp;"|"&amp;$D230,ShiftKnowledge!$A$2:$A$9,ShiftKnowledge!$G$2:$G$9,""),IFERROR(INDEX(ShiftKnowledge!$G$2:$G$9,MATCH($B230&amp;"|"&amp;$D230,ShiftKnowledge!$A$2:$A$9,0)),"")))</f>
        <v/>
      </c>
      <c r="K230" s="6">
        <f>IF($D230="Custom","",IFERROR(XLOOKUP($B230&amp;"|"&amp;$D230,ShiftKnowledge!$A$2:$A$9,ShiftKnowledge!$H$2:$H$9,""),IFERROR(INDEX(ShiftKnowledge!$H$2:$H$9,MATCH($B230&amp;"|"&amp;$D230,ShiftKnowledge!$A$2:$A$9,0)),"")))</f>
        <v/>
      </c>
      <c r="L230" s="6">
        <f>IF($D230="Custom","",IFERROR(XLOOKUP($B230&amp;"|"&amp;$D230,ShiftKnowledge!$A$2:$A$9,ShiftKnowledge!$I$2:$I$9,""),IFERROR(INDEX(ShiftKnowledge!$I$2:$I$9,MATCH($B230&amp;"|"&amp;$D230,ShiftKnowledge!$A$2:$A$9,0)),"")))</f>
        <v/>
      </c>
      <c r="M230" s="6" t="inlineStr"/>
    </row>
    <row r="231" ht="20" customHeight="1">
      <c r="A231" s="4" t="inlineStr">
        <is>
          <t>13/11/2025</t>
        </is>
      </c>
      <c r="B231" s="4" t="inlineStr">
        <is>
          <t>Dental</t>
        </is>
      </c>
      <c r="C231" s="5" t="inlineStr">
        <is>
          <t>Dr. Aminath Khazna Musthafa</t>
        </is>
      </c>
      <c r="D231" s="4" t="inlineStr"/>
      <c r="E231" s="4">
        <f>IF($D231="Custom","",IFERROR(XLOOKUP($B231&amp;"|"&amp;$D231,ShiftKnowledge!$A$2:$A$9,ShiftKnowledge!$D$2:$D$9,""),IFERROR(INDEX(ShiftKnowledge!$D$2:$D$9,MATCH($B231&amp;"|"&amp;$D231,ShiftKnowledge!$A$2:$A$9,0)),"")))</f>
        <v/>
      </c>
      <c r="F231" s="4" t="inlineStr"/>
      <c r="G231" s="4">
        <f>IF(AND($I231="",$L231=""),"",IFERROR(VALUE($I231),0)+IFERROR(VALUE($L231),0))</f>
        <v/>
      </c>
      <c r="H231" s="4">
        <f>IF($D231="Custom","",IFERROR(XLOOKUP($B231&amp;"|"&amp;$D231,ShiftKnowledge!$A$2:$A$9,ShiftKnowledge!$E$2:$E$9,""),IFERROR(INDEX(ShiftKnowledge!$E$2:$E$9,MATCH($B231&amp;"|"&amp;$D231,ShiftKnowledge!$A$2:$A$9,0)),"")))</f>
        <v/>
      </c>
      <c r="I231" s="4">
        <f>IF($D231="Custom","",IFERROR(XLOOKUP($B231&amp;"|"&amp;$D231,ShiftKnowledge!$A$2:$A$9,ShiftKnowledge!$F$2:$F$9,""),IFERROR(INDEX(ShiftKnowledge!$F$2:$F$9,MATCH($B231&amp;"|"&amp;$D231,ShiftKnowledge!$A$2:$A$9,0)),"")))</f>
        <v/>
      </c>
      <c r="J231" s="4">
        <f>IF($D231="Custom","",IFERROR(XLOOKUP($B231&amp;"|"&amp;$D231,ShiftKnowledge!$A$2:$A$9,ShiftKnowledge!$G$2:$G$9,""),IFERROR(INDEX(ShiftKnowledge!$G$2:$G$9,MATCH($B231&amp;"|"&amp;$D231,ShiftKnowledge!$A$2:$A$9,0)),"")))</f>
        <v/>
      </c>
      <c r="K231" s="4">
        <f>IF($D231="Custom","",IFERROR(XLOOKUP($B231&amp;"|"&amp;$D231,ShiftKnowledge!$A$2:$A$9,ShiftKnowledge!$H$2:$H$9,""),IFERROR(INDEX(ShiftKnowledge!$H$2:$H$9,MATCH($B231&amp;"|"&amp;$D231,ShiftKnowledge!$A$2:$A$9,0)),"")))</f>
        <v/>
      </c>
      <c r="L231" s="4">
        <f>IF($D231="Custom","",IFERROR(XLOOKUP($B231&amp;"|"&amp;$D231,ShiftKnowledge!$A$2:$A$9,ShiftKnowledge!$I$2:$I$9,""),IFERROR(INDEX(ShiftKnowledge!$I$2:$I$9,MATCH($B231&amp;"|"&amp;$D231,ShiftKnowledge!$A$2:$A$9,0)),"")))</f>
        <v/>
      </c>
      <c r="M231" s="4" t="inlineStr"/>
    </row>
    <row r="232" ht="20" customHeight="1">
      <c r="A232" s="6" t="inlineStr">
        <is>
          <t>13/11/2025</t>
        </is>
      </c>
      <c r="B232" s="6" t="inlineStr">
        <is>
          <t>Internal Medicine</t>
        </is>
      </c>
      <c r="C232" s="7" t="inlineStr">
        <is>
          <t>Dr. Aminath Munaza</t>
        </is>
      </c>
      <c r="D232" s="6" t="inlineStr"/>
      <c r="E232" s="6">
        <f>IF($D232="Custom","",IFERROR(XLOOKUP($B232&amp;"|"&amp;$D232,ShiftKnowledge!$A$2:$A$9,ShiftKnowledge!$D$2:$D$9,""),IFERROR(INDEX(ShiftKnowledge!$D$2:$D$9,MATCH($B232&amp;"|"&amp;$D232,ShiftKnowledge!$A$2:$A$9,0)),"")))</f>
        <v/>
      </c>
      <c r="F232" s="6" t="inlineStr"/>
      <c r="G232" s="6">
        <f>IF(AND($I232="",$L232=""),"",IFERROR(VALUE($I232),0)+IFERROR(VALUE($L232),0))</f>
        <v/>
      </c>
      <c r="H232" s="6">
        <f>IF($D232="Custom","",IFERROR(XLOOKUP($B232&amp;"|"&amp;$D232,ShiftKnowledge!$A$2:$A$9,ShiftKnowledge!$E$2:$E$9,""),IFERROR(INDEX(ShiftKnowledge!$E$2:$E$9,MATCH($B232&amp;"|"&amp;$D232,ShiftKnowledge!$A$2:$A$9,0)),"")))</f>
        <v/>
      </c>
      <c r="I232" s="6">
        <f>IF($D232="Custom","",IFERROR(XLOOKUP($B232&amp;"|"&amp;$D232,ShiftKnowledge!$A$2:$A$9,ShiftKnowledge!$F$2:$F$9,""),IFERROR(INDEX(ShiftKnowledge!$F$2:$F$9,MATCH($B232&amp;"|"&amp;$D232,ShiftKnowledge!$A$2:$A$9,0)),"")))</f>
        <v/>
      </c>
      <c r="J232" s="6">
        <f>IF($D232="Custom","",IFERROR(XLOOKUP($B232&amp;"|"&amp;$D232,ShiftKnowledge!$A$2:$A$9,ShiftKnowledge!$G$2:$G$9,""),IFERROR(INDEX(ShiftKnowledge!$G$2:$G$9,MATCH($B232&amp;"|"&amp;$D232,ShiftKnowledge!$A$2:$A$9,0)),"")))</f>
        <v/>
      </c>
      <c r="K232" s="6">
        <f>IF($D232="Custom","",IFERROR(XLOOKUP($B232&amp;"|"&amp;$D232,ShiftKnowledge!$A$2:$A$9,ShiftKnowledge!$H$2:$H$9,""),IFERROR(INDEX(ShiftKnowledge!$H$2:$H$9,MATCH($B232&amp;"|"&amp;$D232,ShiftKnowledge!$A$2:$A$9,0)),"")))</f>
        <v/>
      </c>
      <c r="L232" s="6">
        <f>IF($D232="Custom","",IFERROR(XLOOKUP($B232&amp;"|"&amp;$D232,ShiftKnowledge!$A$2:$A$9,ShiftKnowledge!$I$2:$I$9,""),IFERROR(INDEX(ShiftKnowledge!$I$2:$I$9,MATCH($B232&amp;"|"&amp;$D232,ShiftKnowledge!$A$2:$A$9,0)),"")))</f>
        <v/>
      </c>
      <c r="M232" s="6" t="inlineStr"/>
    </row>
    <row r="233" ht="20" customHeight="1">
      <c r="A233" s="4" t="inlineStr">
        <is>
          <t>13/11/2025</t>
        </is>
      </c>
      <c r="B233" s="4" t="inlineStr">
        <is>
          <t>Psychiatry</t>
        </is>
      </c>
      <c r="C233" s="5" t="inlineStr">
        <is>
          <t>Dr. Anas Mohamed Anwar Ahmed Ali</t>
        </is>
      </c>
      <c r="D233" s="4" t="inlineStr"/>
      <c r="E233" s="4">
        <f>IF($D233="Custom","",IFERROR(XLOOKUP($B233&amp;"|"&amp;$D233,ShiftKnowledge!$A$2:$A$9,ShiftKnowledge!$D$2:$D$9,""),IFERROR(INDEX(ShiftKnowledge!$D$2:$D$9,MATCH($B233&amp;"|"&amp;$D233,ShiftKnowledge!$A$2:$A$9,0)),"")))</f>
        <v/>
      </c>
      <c r="F233" s="4" t="inlineStr"/>
      <c r="G233" s="4">
        <f>IF(AND($I233="",$L233=""),"",IFERROR(VALUE($I233),0)+IFERROR(VALUE($L233),0))</f>
        <v/>
      </c>
      <c r="H233" s="4">
        <f>IF($D233="Custom","",IFERROR(XLOOKUP($B233&amp;"|"&amp;$D233,ShiftKnowledge!$A$2:$A$9,ShiftKnowledge!$E$2:$E$9,""),IFERROR(INDEX(ShiftKnowledge!$E$2:$E$9,MATCH($B233&amp;"|"&amp;$D233,ShiftKnowledge!$A$2:$A$9,0)),"")))</f>
        <v/>
      </c>
      <c r="I233" s="4">
        <f>IF($D233="Custom","",IFERROR(XLOOKUP($B233&amp;"|"&amp;$D233,ShiftKnowledge!$A$2:$A$9,ShiftKnowledge!$F$2:$F$9,""),IFERROR(INDEX(ShiftKnowledge!$F$2:$F$9,MATCH($B233&amp;"|"&amp;$D233,ShiftKnowledge!$A$2:$A$9,0)),"")))</f>
        <v/>
      </c>
      <c r="J233" s="4">
        <f>IF($D233="Custom","",IFERROR(XLOOKUP($B233&amp;"|"&amp;$D233,ShiftKnowledge!$A$2:$A$9,ShiftKnowledge!$G$2:$G$9,""),IFERROR(INDEX(ShiftKnowledge!$G$2:$G$9,MATCH($B233&amp;"|"&amp;$D233,ShiftKnowledge!$A$2:$A$9,0)),"")))</f>
        <v/>
      </c>
      <c r="K233" s="4">
        <f>IF($D233="Custom","",IFERROR(XLOOKUP($B233&amp;"|"&amp;$D233,ShiftKnowledge!$A$2:$A$9,ShiftKnowledge!$H$2:$H$9,""),IFERROR(INDEX(ShiftKnowledge!$H$2:$H$9,MATCH($B233&amp;"|"&amp;$D233,ShiftKnowledge!$A$2:$A$9,0)),"")))</f>
        <v/>
      </c>
      <c r="L233" s="4">
        <f>IF($D233="Custom","",IFERROR(XLOOKUP($B233&amp;"|"&amp;$D233,ShiftKnowledge!$A$2:$A$9,ShiftKnowledge!$I$2:$I$9,""),IFERROR(INDEX(ShiftKnowledge!$I$2:$I$9,MATCH($B233&amp;"|"&amp;$D233,ShiftKnowledge!$A$2:$A$9,0)),"")))</f>
        <v/>
      </c>
      <c r="M233" s="4" t="inlineStr"/>
    </row>
    <row r="234" ht="20" customHeight="1">
      <c r="A234" s="6" t="inlineStr">
        <is>
          <t>13/11/2025</t>
        </is>
      </c>
      <c r="B234" s="6" t="inlineStr">
        <is>
          <t>Oral Maxillo facial surgery (OMS)</t>
        </is>
      </c>
      <c r="C234" s="7" t="inlineStr">
        <is>
          <t>Dr. Arpita Singh</t>
        </is>
      </c>
      <c r="D234" s="6" t="inlineStr"/>
      <c r="E234" s="6">
        <f>IF($D234="Custom","",IFERROR(XLOOKUP($B234&amp;"|"&amp;$D234,ShiftKnowledge!$A$2:$A$9,ShiftKnowledge!$D$2:$D$9,""),IFERROR(INDEX(ShiftKnowledge!$D$2:$D$9,MATCH($B234&amp;"|"&amp;$D234,ShiftKnowledge!$A$2:$A$9,0)),"")))</f>
        <v/>
      </c>
      <c r="F234" s="6" t="inlineStr"/>
      <c r="G234" s="6">
        <f>IF(AND($I234="",$L234=""),"",IFERROR(VALUE($I234),0)+IFERROR(VALUE($L234),0))</f>
        <v/>
      </c>
      <c r="H234" s="6">
        <f>IF($D234="Custom","",IFERROR(XLOOKUP($B234&amp;"|"&amp;$D234,ShiftKnowledge!$A$2:$A$9,ShiftKnowledge!$E$2:$E$9,""),IFERROR(INDEX(ShiftKnowledge!$E$2:$E$9,MATCH($B234&amp;"|"&amp;$D234,ShiftKnowledge!$A$2:$A$9,0)),"")))</f>
        <v/>
      </c>
      <c r="I234" s="6">
        <f>IF($D234="Custom","",IFERROR(XLOOKUP($B234&amp;"|"&amp;$D234,ShiftKnowledge!$A$2:$A$9,ShiftKnowledge!$F$2:$F$9,""),IFERROR(INDEX(ShiftKnowledge!$F$2:$F$9,MATCH($B234&amp;"|"&amp;$D234,ShiftKnowledge!$A$2:$A$9,0)),"")))</f>
        <v/>
      </c>
      <c r="J234" s="6">
        <f>IF($D234="Custom","",IFERROR(XLOOKUP($B234&amp;"|"&amp;$D234,ShiftKnowledge!$A$2:$A$9,ShiftKnowledge!$G$2:$G$9,""),IFERROR(INDEX(ShiftKnowledge!$G$2:$G$9,MATCH($B234&amp;"|"&amp;$D234,ShiftKnowledge!$A$2:$A$9,0)),"")))</f>
        <v/>
      </c>
      <c r="K234" s="6">
        <f>IF($D234="Custom","",IFERROR(XLOOKUP($B234&amp;"|"&amp;$D234,ShiftKnowledge!$A$2:$A$9,ShiftKnowledge!$H$2:$H$9,""),IFERROR(INDEX(ShiftKnowledge!$H$2:$H$9,MATCH($B234&amp;"|"&amp;$D234,ShiftKnowledge!$A$2:$A$9,0)),"")))</f>
        <v/>
      </c>
      <c r="L234" s="6">
        <f>IF($D234="Custom","",IFERROR(XLOOKUP($B234&amp;"|"&amp;$D234,ShiftKnowledge!$A$2:$A$9,ShiftKnowledge!$I$2:$I$9,""),IFERROR(INDEX(ShiftKnowledge!$I$2:$I$9,MATCH($B234&amp;"|"&amp;$D234,ShiftKnowledge!$A$2:$A$9,0)),"")))</f>
        <v/>
      </c>
      <c r="M234" s="6" t="inlineStr"/>
    </row>
    <row r="235" ht="20" customHeight="1">
      <c r="A235" s="4" t="inlineStr">
        <is>
          <t>13/11/2025</t>
        </is>
      </c>
      <c r="B235" s="4" t="inlineStr">
        <is>
          <t>Orthopaedics</t>
        </is>
      </c>
      <c r="C235" s="5" t="inlineStr">
        <is>
          <t>Dr. Asish Rajak</t>
        </is>
      </c>
      <c r="D235" s="4" t="inlineStr"/>
      <c r="E235" s="4">
        <f>IF($D235="Custom","",IFERROR(XLOOKUP($B235&amp;"|"&amp;$D235,ShiftKnowledge!$A$2:$A$9,ShiftKnowledge!$D$2:$D$9,""),IFERROR(INDEX(ShiftKnowledge!$D$2:$D$9,MATCH($B235&amp;"|"&amp;$D235,ShiftKnowledge!$A$2:$A$9,0)),"")))</f>
        <v/>
      </c>
      <c r="F235" s="4" t="inlineStr"/>
      <c r="G235" s="4">
        <f>IF(AND($I235="",$L235=""),"",IFERROR(VALUE($I235),0)+IFERROR(VALUE($L235),0))</f>
        <v/>
      </c>
      <c r="H235" s="4">
        <f>IF($D235="Custom","",IFERROR(XLOOKUP($B235&amp;"|"&amp;$D235,ShiftKnowledge!$A$2:$A$9,ShiftKnowledge!$E$2:$E$9,""),IFERROR(INDEX(ShiftKnowledge!$E$2:$E$9,MATCH($B235&amp;"|"&amp;$D235,ShiftKnowledge!$A$2:$A$9,0)),"")))</f>
        <v/>
      </c>
      <c r="I235" s="4">
        <f>IF($D235="Custom","",IFERROR(XLOOKUP($B235&amp;"|"&amp;$D235,ShiftKnowledge!$A$2:$A$9,ShiftKnowledge!$F$2:$F$9,""),IFERROR(INDEX(ShiftKnowledge!$F$2:$F$9,MATCH($B235&amp;"|"&amp;$D235,ShiftKnowledge!$A$2:$A$9,0)),"")))</f>
        <v/>
      </c>
      <c r="J235" s="4">
        <f>IF($D235="Custom","",IFERROR(XLOOKUP($B235&amp;"|"&amp;$D235,ShiftKnowledge!$A$2:$A$9,ShiftKnowledge!$G$2:$G$9,""),IFERROR(INDEX(ShiftKnowledge!$G$2:$G$9,MATCH($B235&amp;"|"&amp;$D235,ShiftKnowledge!$A$2:$A$9,0)),"")))</f>
        <v/>
      </c>
      <c r="K235" s="4">
        <f>IF($D235="Custom","",IFERROR(XLOOKUP($B235&amp;"|"&amp;$D235,ShiftKnowledge!$A$2:$A$9,ShiftKnowledge!$H$2:$H$9,""),IFERROR(INDEX(ShiftKnowledge!$H$2:$H$9,MATCH($B235&amp;"|"&amp;$D235,ShiftKnowledge!$A$2:$A$9,0)),"")))</f>
        <v/>
      </c>
      <c r="L235" s="4">
        <f>IF($D235="Custom","",IFERROR(XLOOKUP($B235&amp;"|"&amp;$D235,ShiftKnowledge!$A$2:$A$9,ShiftKnowledge!$I$2:$I$9,""),IFERROR(INDEX(ShiftKnowledge!$I$2:$I$9,MATCH($B235&amp;"|"&amp;$D235,ShiftKnowledge!$A$2:$A$9,0)),"")))</f>
        <v/>
      </c>
      <c r="M235" s="4" t="inlineStr"/>
    </row>
    <row r="236" ht="20" customHeight="1">
      <c r="A236" s="6" t="inlineStr">
        <is>
          <t>13/11/2025</t>
        </is>
      </c>
      <c r="B236" s="6" t="inlineStr">
        <is>
          <t>Dermatology</t>
        </is>
      </c>
      <c r="C236" s="7" t="inlineStr">
        <is>
          <t>Dr. Aya Gamal Kotb Mohamed Elagamy</t>
        </is>
      </c>
      <c r="D236" s="6" t="inlineStr"/>
      <c r="E236" s="6">
        <f>IF($D236="Custom","",IFERROR(XLOOKUP($B236&amp;"|"&amp;$D236,ShiftKnowledge!$A$2:$A$9,ShiftKnowledge!$D$2:$D$9,""),IFERROR(INDEX(ShiftKnowledge!$D$2:$D$9,MATCH($B236&amp;"|"&amp;$D236,ShiftKnowledge!$A$2:$A$9,0)),"")))</f>
        <v/>
      </c>
      <c r="F236" s="6" t="inlineStr"/>
      <c r="G236" s="6">
        <f>IF(AND($I236="",$L236=""),"",IFERROR(VALUE($I236),0)+IFERROR(VALUE($L236),0))</f>
        <v/>
      </c>
      <c r="H236" s="6">
        <f>IF($D236="Custom","",IFERROR(XLOOKUP($B236&amp;"|"&amp;$D236,ShiftKnowledge!$A$2:$A$9,ShiftKnowledge!$E$2:$E$9,""),IFERROR(INDEX(ShiftKnowledge!$E$2:$E$9,MATCH($B236&amp;"|"&amp;$D236,ShiftKnowledge!$A$2:$A$9,0)),"")))</f>
        <v/>
      </c>
      <c r="I236" s="6">
        <f>IF($D236="Custom","",IFERROR(XLOOKUP($B236&amp;"|"&amp;$D236,ShiftKnowledge!$A$2:$A$9,ShiftKnowledge!$F$2:$F$9,""),IFERROR(INDEX(ShiftKnowledge!$F$2:$F$9,MATCH($B236&amp;"|"&amp;$D236,ShiftKnowledge!$A$2:$A$9,0)),"")))</f>
        <v/>
      </c>
      <c r="J236" s="6">
        <f>IF($D236="Custom","",IFERROR(XLOOKUP($B236&amp;"|"&amp;$D236,ShiftKnowledge!$A$2:$A$9,ShiftKnowledge!$G$2:$G$9,""),IFERROR(INDEX(ShiftKnowledge!$G$2:$G$9,MATCH($B236&amp;"|"&amp;$D236,ShiftKnowledge!$A$2:$A$9,0)),"")))</f>
        <v/>
      </c>
      <c r="K236" s="6">
        <f>IF($D236="Custom","",IFERROR(XLOOKUP($B236&amp;"|"&amp;$D236,ShiftKnowledge!$A$2:$A$9,ShiftKnowledge!$H$2:$H$9,""),IFERROR(INDEX(ShiftKnowledge!$H$2:$H$9,MATCH($B236&amp;"|"&amp;$D236,ShiftKnowledge!$A$2:$A$9,0)),"")))</f>
        <v/>
      </c>
      <c r="L236" s="6">
        <f>IF($D236="Custom","",IFERROR(XLOOKUP($B236&amp;"|"&amp;$D236,ShiftKnowledge!$A$2:$A$9,ShiftKnowledge!$I$2:$I$9,""),IFERROR(INDEX(ShiftKnowledge!$I$2:$I$9,MATCH($B236&amp;"|"&amp;$D236,ShiftKnowledge!$A$2:$A$9,0)),"")))</f>
        <v/>
      </c>
      <c r="M236" s="6" t="inlineStr"/>
    </row>
    <row r="237" ht="20" customHeight="1">
      <c r="A237" s="4" t="inlineStr">
        <is>
          <t>13/11/2025</t>
        </is>
      </c>
      <c r="B237" s="4" t="inlineStr">
        <is>
          <t>Dental</t>
        </is>
      </c>
      <c r="C237" s="5" t="inlineStr">
        <is>
          <t>Dr. Benjamin Premkumar</t>
        </is>
      </c>
      <c r="D237" s="4" t="inlineStr"/>
      <c r="E237" s="4">
        <f>IF($D237="Custom","",IFERROR(XLOOKUP($B237&amp;"|"&amp;$D237,ShiftKnowledge!$A$2:$A$9,ShiftKnowledge!$D$2:$D$9,""),IFERROR(INDEX(ShiftKnowledge!$D$2:$D$9,MATCH($B237&amp;"|"&amp;$D237,ShiftKnowledge!$A$2:$A$9,0)),"")))</f>
        <v/>
      </c>
      <c r="F237" s="4" t="inlineStr"/>
      <c r="G237" s="4">
        <f>IF(AND($I237="",$L237=""),"",IFERROR(VALUE($I237),0)+IFERROR(VALUE($L237),0))</f>
        <v/>
      </c>
      <c r="H237" s="4">
        <f>IF($D237="Custom","",IFERROR(XLOOKUP($B237&amp;"|"&amp;$D237,ShiftKnowledge!$A$2:$A$9,ShiftKnowledge!$E$2:$E$9,""),IFERROR(INDEX(ShiftKnowledge!$E$2:$E$9,MATCH($B237&amp;"|"&amp;$D237,ShiftKnowledge!$A$2:$A$9,0)),"")))</f>
        <v/>
      </c>
      <c r="I237" s="4">
        <f>IF($D237="Custom","",IFERROR(XLOOKUP($B237&amp;"|"&amp;$D237,ShiftKnowledge!$A$2:$A$9,ShiftKnowledge!$F$2:$F$9,""),IFERROR(INDEX(ShiftKnowledge!$F$2:$F$9,MATCH($B237&amp;"|"&amp;$D237,ShiftKnowledge!$A$2:$A$9,0)),"")))</f>
        <v/>
      </c>
      <c r="J237" s="4">
        <f>IF($D237="Custom","",IFERROR(XLOOKUP($B237&amp;"|"&amp;$D237,ShiftKnowledge!$A$2:$A$9,ShiftKnowledge!$G$2:$G$9,""),IFERROR(INDEX(ShiftKnowledge!$G$2:$G$9,MATCH($B237&amp;"|"&amp;$D237,ShiftKnowledge!$A$2:$A$9,0)),"")))</f>
        <v/>
      </c>
      <c r="K237" s="4">
        <f>IF($D237="Custom","",IFERROR(XLOOKUP($B237&amp;"|"&amp;$D237,ShiftKnowledge!$A$2:$A$9,ShiftKnowledge!$H$2:$H$9,""),IFERROR(INDEX(ShiftKnowledge!$H$2:$H$9,MATCH($B237&amp;"|"&amp;$D237,ShiftKnowledge!$A$2:$A$9,0)),"")))</f>
        <v/>
      </c>
      <c r="L237" s="4">
        <f>IF($D237="Custom","",IFERROR(XLOOKUP($B237&amp;"|"&amp;$D237,ShiftKnowledge!$A$2:$A$9,ShiftKnowledge!$I$2:$I$9,""),IFERROR(INDEX(ShiftKnowledge!$I$2:$I$9,MATCH($B237&amp;"|"&amp;$D237,ShiftKnowledge!$A$2:$A$9,0)),"")))</f>
        <v/>
      </c>
      <c r="M237" s="4" t="inlineStr"/>
    </row>
    <row r="238" ht="20" customHeight="1">
      <c r="A238" s="6" t="inlineStr">
        <is>
          <t>13/11/2025</t>
        </is>
      </c>
      <c r="B238" s="6" t="inlineStr">
        <is>
          <t>Internal Medicine</t>
        </is>
      </c>
      <c r="C238" s="7" t="inlineStr">
        <is>
          <t>Dr. Cho Thway Mon</t>
        </is>
      </c>
      <c r="D238" s="6" t="inlineStr"/>
      <c r="E238" s="6">
        <f>IF($D238="Custom","",IFERROR(XLOOKUP($B238&amp;"|"&amp;$D238,ShiftKnowledge!$A$2:$A$9,ShiftKnowledge!$D$2:$D$9,""),IFERROR(INDEX(ShiftKnowledge!$D$2:$D$9,MATCH($B238&amp;"|"&amp;$D238,ShiftKnowledge!$A$2:$A$9,0)),"")))</f>
        <v/>
      </c>
      <c r="F238" s="6" t="inlineStr"/>
      <c r="G238" s="6">
        <f>IF(AND($I238="",$L238=""),"",IFERROR(VALUE($I238),0)+IFERROR(VALUE($L238),0))</f>
        <v/>
      </c>
      <c r="H238" s="6">
        <f>IF($D238="Custom","",IFERROR(XLOOKUP($B238&amp;"|"&amp;$D238,ShiftKnowledge!$A$2:$A$9,ShiftKnowledge!$E$2:$E$9,""),IFERROR(INDEX(ShiftKnowledge!$E$2:$E$9,MATCH($B238&amp;"|"&amp;$D238,ShiftKnowledge!$A$2:$A$9,0)),"")))</f>
        <v/>
      </c>
      <c r="I238" s="6">
        <f>IF($D238="Custom","",IFERROR(XLOOKUP($B238&amp;"|"&amp;$D238,ShiftKnowledge!$A$2:$A$9,ShiftKnowledge!$F$2:$F$9,""),IFERROR(INDEX(ShiftKnowledge!$F$2:$F$9,MATCH($B238&amp;"|"&amp;$D238,ShiftKnowledge!$A$2:$A$9,0)),"")))</f>
        <v/>
      </c>
      <c r="J238" s="6">
        <f>IF($D238="Custom","",IFERROR(XLOOKUP($B238&amp;"|"&amp;$D238,ShiftKnowledge!$A$2:$A$9,ShiftKnowledge!$G$2:$G$9,""),IFERROR(INDEX(ShiftKnowledge!$G$2:$G$9,MATCH($B238&amp;"|"&amp;$D238,ShiftKnowledge!$A$2:$A$9,0)),"")))</f>
        <v/>
      </c>
      <c r="K238" s="6">
        <f>IF($D238="Custom","",IFERROR(XLOOKUP($B238&amp;"|"&amp;$D238,ShiftKnowledge!$A$2:$A$9,ShiftKnowledge!$H$2:$H$9,""),IFERROR(INDEX(ShiftKnowledge!$H$2:$H$9,MATCH($B238&amp;"|"&amp;$D238,ShiftKnowledge!$A$2:$A$9,0)),"")))</f>
        <v/>
      </c>
      <c r="L238" s="6">
        <f>IF($D238="Custom","",IFERROR(XLOOKUP($B238&amp;"|"&amp;$D238,ShiftKnowledge!$A$2:$A$9,ShiftKnowledge!$I$2:$I$9,""),IFERROR(INDEX(ShiftKnowledge!$I$2:$I$9,MATCH($B238&amp;"|"&amp;$D238,ShiftKnowledge!$A$2:$A$9,0)),"")))</f>
        <v/>
      </c>
      <c r="M238" s="6" t="inlineStr"/>
    </row>
    <row r="239" ht="20" customHeight="1">
      <c r="A239" s="4" t="inlineStr">
        <is>
          <t>13/11/2025</t>
        </is>
      </c>
      <c r="B239" s="4" t="inlineStr">
        <is>
          <t>Orthopaedics</t>
        </is>
      </c>
      <c r="C239" s="5" t="inlineStr">
        <is>
          <t>Dr. Dinesh Kumar Pandit</t>
        </is>
      </c>
      <c r="D239" s="4" t="inlineStr"/>
      <c r="E239" s="4">
        <f>IF($D239="Custom","",IFERROR(XLOOKUP($B239&amp;"|"&amp;$D239,ShiftKnowledge!$A$2:$A$9,ShiftKnowledge!$D$2:$D$9,""),IFERROR(INDEX(ShiftKnowledge!$D$2:$D$9,MATCH($B239&amp;"|"&amp;$D239,ShiftKnowledge!$A$2:$A$9,0)),"")))</f>
        <v/>
      </c>
      <c r="F239" s="4" t="inlineStr"/>
      <c r="G239" s="4">
        <f>IF(AND($I239="",$L239=""),"",IFERROR(VALUE($I239),0)+IFERROR(VALUE($L239),0))</f>
        <v/>
      </c>
      <c r="H239" s="4">
        <f>IF($D239="Custom","",IFERROR(XLOOKUP($B239&amp;"|"&amp;$D239,ShiftKnowledge!$A$2:$A$9,ShiftKnowledge!$E$2:$E$9,""),IFERROR(INDEX(ShiftKnowledge!$E$2:$E$9,MATCH($B239&amp;"|"&amp;$D239,ShiftKnowledge!$A$2:$A$9,0)),"")))</f>
        <v/>
      </c>
      <c r="I239" s="4">
        <f>IF($D239="Custom","",IFERROR(XLOOKUP($B239&amp;"|"&amp;$D239,ShiftKnowledge!$A$2:$A$9,ShiftKnowledge!$F$2:$F$9,""),IFERROR(INDEX(ShiftKnowledge!$F$2:$F$9,MATCH($B239&amp;"|"&amp;$D239,ShiftKnowledge!$A$2:$A$9,0)),"")))</f>
        <v/>
      </c>
      <c r="J239" s="4">
        <f>IF($D239="Custom","",IFERROR(XLOOKUP($B239&amp;"|"&amp;$D239,ShiftKnowledge!$A$2:$A$9,ShiftKnowledge!$G$2:$G$9,""),IFERROR(INDEX(ShiftKnowledge!$G$2:$G$9,MATCH($B239&amp;"|"&amp;$D239,ShiftKnowledge!$A$2:$A$9,0)),"")))</f>
        <v/>
      </c>
      <c r="K239" s="4">
        <f>IF($D239="Custom","",IFERROR(XLOOKUP($B239&amp;"|"&amp;$D239,ShiftKnowledge!$A$2:$A$9,ShiftKnowledge!$H$2:$H$9,""),IFERROR(INDEX(ShiftKnowledge!$H$2:$H$9,MATCH($B239&amp;"|"&amp;$D239,ShiftKnowledge!$A$2:$A$9,0)),"")))</f>
        <v/>
      </c>
      <c r="L239" s="4">
        <f>IF($D239="Custom","",IFERROR(XLOOKUP($B239&amp;"|"&amp;$D239,ShiftKnowledge!$A$2:$A$9,ShiftKnowledge!$I$2:$I$9,""),IFERROR(INDEX(ShiftKnowledge!$I$2:$I$9,MATCH($B239&amp;"|"&amp;$D239,ShiftKnowledge!$A$2:$A$9,0)),"")))</f>
        <v/>
      </c>
      <c r="M239" s="4" t="inlineStr"/>
    </row>
    <row r="240" ht="20" customHeight="1">
      <c r="A240" s="6" t="inlineStr">
        <is>
          <t>13/11/2025</t>
        </is>
      </c>
      <c r="B240" s="6" t="inlineStr">
        <is>
          <t>Internal Medicine</t>
        </is>
      </c>
      <c r="C240" s="7" t="inlineStr">
        <is>
          <t>Dr. Ei Shwe Yee Myint</t>
        </is>
      </c>
      <c r="D240" s="6" t="inlineStr"/>
      <c r="E240" s="6">
        <f>IF($D240="Custom","",IFERROR(XLOOKUP($B240&amp;"|"&amp;$D240,ShiftKnowledge!$A$2:$A$9,ShiftKnowledge!$D$2:$D$9,""),IFERROR(INDEX(ShiftKnowledge!$D$2:$D$9,MATCH($B240&amp;"|"&amp;$D240,ShiftKnowledge!$A$2:$A$9,0)),"")))</f>
        <v/>
      </c>
      <c r="F240" s="6" t="inlineStr"/>
      <c r="G240" s="6">
        <f>IF(AND($I240="",$L240=""),"",IFERROR(VALUE($I240),0)+IFERROR(VALUE($L240),0))</f>
        <v/>
      </c>
      <c r="H240" s="6">
        <f>IF($D240="Custom","",IFERROR(XLOOKUP($B240&amp;"|"&amp;$D240,ShiftKnowledge!$A$2:$A$9,ShiftKnowledge!$E$2:$E$9,""),IFERROR(INDEX(ShiftKnowledge!$E$2:$E$9,MATCH($B240&amp;"|"&amp;$D240,ShiftKnowledge!$A$2:$A$9,0)),"")))</f>
        <v/>
      </c>
      <c r="I240" s="6">
        <f>IF($D240="Custom","",IFERROR(XLOOKUP($B240&amp;"|"&amp;$D240,ShiftKnowledge!$A$2:$A$9,ShiftKnowledge!$F$2:$F$9,""),IFERROR(INDEX(ShiftKnowledge!$F$2:$F$9,MATCH($B240&amp;"|"&amp;$D240,ShiftKnowledge!$A$2:$A$9,0)),"")))</f>
        <v/>
      </c>
      <c r="J240" s="6">
        <f>IF($D240="Custom","",IFERROR(XLOOKUP($B240&amp;"|"&amp;$D240,ShiftKnowledge!$A$2:$A$9,ShiftKnowledge!$G$2:$G$9,""),IFERROR(INDEX(ShiftKnowledge!$G$2:$G$9,MATCH($B240&amp;"|"&amp;$D240,ShiftKnowledge!$A$2:$A$9,0)),"")))</f>
        <v/>
      </c>
      <c r="K240" s="6">
        <f>IF($D240="Custom","",IFERROR(XLOOKUP($B240&amp;"|"&amp;$D240,ShiftKnowledge!$A$2:$A$9,ShiftKnowledge!$H$2:$H$9,""),IFERROR(INDEX(ShiftKnowledge!$H$2:$H$9,MATCH($B240&amp;"|"&amp;$D240,ShiftKnowledge!$A$2:$A$9,0)),"")))</f>
        <v/>
      </c>
      <c r="L240" s="6">
        <f>IF($D240="Custom","",IFERROR(XLOOKUP($B240&amp;"|"&amp;$D240,ShiftKnowledge!$A$2:$A$9,ShiftKnowledge!$I$2:$I$9,""),IFERROR(INDEX(ShiftKnowledge!$I$2:$I$9,MATCH($B240&amp;"|"&amp;$D240,ShiftKnowledge!$A$2:$A$9,0)),"")))</f>
        <v/>
      </c>
      <c r="M240" s="6" t="inlineStr"/>
    </row>
    <row r="241" ht="20" customHeight="1">
      <c r="A241" s="4" t="inlineStr">
        <is>
          <t>13/11/2025</t>
        </is>
      </c>
      <c r="B241" s="4" t="inlineStr">
        <is>
          <t>Internal Medicine</t>
        </is>
      </c>
      <c r="C241" s="5" t="inlineStr">
        <is>
          <t>Dr. Hatem Hassan Mohamed Abdelhafez</t>
        </is>
      </c>
      <c r="D241" s="4" t="inlineStr"/>
      <c r="E241" s="4">
        <f>IF($D241="Custom","",IFERROR(XLOOKUP($B241&amp;"|"&amp;$D241,ShiftKnowledge!$A$2:$A$9,ShiftKnowledge!$D$2:$D$9,""),IFERROR(INDEX(ShiftKnowledge!$D$2:$D$9,MATCH($B241&amp;"|"&amp;$D241,ShiftKnowledge!$A$2:$A$9,0)),"")))</f>
        <v/>
      </c>
      <c r="F241" s="4" t="inlineStr"/>
      <c r="G241" s="4">
        <f>IF(AND($I241="",$L241=""),"",IFERROR(VALUE($I241),0)+IFERROR(VALUE($L241),0))</f>
        <v/>
      </c>
      <c r="H241" s="4">
        <f>IF($D241="Custom","",IFERROR(XLOOKUP($B241&amp;"|"&amp;$D241,ShiftKnowledge!$A$2:$A$9,ShiftKnowledge!$E$2:$E$9,""),IFERROR(INDEX(ShiftKnowledge!$E$2:$E$9,MATCH($B241&amp;"|"&amp;$D241,ShiftKnowledge!$A$2:$A$9,0)),"")))</f>
        <v/>
      </c>
      <c r="I241" s="4">
        <f>IF($D241="Custom","",IFERROR(XLOOKUP($B241&amp;"|"&amp;$D241,ShiftKnowledge!$A$2:$A$9,ShiftKnowledge!$F$2:$F$9,""),IFERROR(INDEX(ShiftKnowledge!$F$2:$F$9,MATCH($B241&amp;"|"&amp;$D241,ShiftKnowledge!$A$2:$A$9,0)),"")))</f>
        <v/>
      </c>
      <c r="J241" s="4">
        <f>IF($D241="Custom","",IFERROR(XLOOKUP($B241&amp;"|"&amp;$D241,ShiftKnowledge!$A$2:$A$9,ShiftKnowledge!$G$2:$G$9,""),IFERROR(INDEX(ShiftKnowledge!$G$2:$G$9,MATCH($B241&amp;"|"&amp;$D241,ShiftKnowledge!$A$2:$A$9,0)),"")))</f>
        <v/>
      </c>
      <c r="K241" s="4">
        <f>IF($D241="Custom","",IFERROR(XLOOKUP($B241&amp;"|"&amp;$D241,ShiftKnowledge!$A$2:$A$9,ShiftKnowledge!$H$2:$H$9,""),IFERROR(INDEX(ShiftKnowledge!$H$2:$H$9,MATCH($B241&amp;"|"&amp;$D241,ShiftKnowledge!$A$2:$A$9,0)),"")))</f>
        <v/>
      </c>
      <c r="L241" s="4">
        <f>IF($D241="Custom","",IFERROR(XLOOKUP($B241&amp;"|"&amp;$D241,ShiftKnowledge!$A$2:$A$9,ShiftKnowledge!$I$2:$I$9,""),IFERROR(INDEX(ShiftKnowledge!$I$2:$I$9,MATCH($B241&amp;"|"&amp;$D241,ShiftKnowledge!$A$2:$A$9,0)),"")))</f>
        <v/>
      </c>
      <c r="M241" s="4" t="inlineStr"/>
    </row>
    <row r="242" ht="20" customHeight="1">
      <c r="A242" s="6" t="inlineStr">
        <is>
          <t>13/11/2025</t>
        </is>
      </c>
      <c r="B242" s="6" t="inlineStr">
        <is>
          <t>Gynaecology</t>
        </is>
      </c>
      <c r="C242" s="7" t="inlineStr">
        <is>
          <t>Dr. Hawwa Inaya</t>
        </is>
      </c>
      <c r="D242" s="6" t="inlineStr"/>
      <c r="E242" s="6">
        <f>IF($D242="Custom","",IFERROR(XLOOKUP($B242&amp;"|"&amp;$D242,ShiftKnowledge!$A$2:$A$9,ShiftKnowledge!$D$2:$D$9,""),IFERROR(INDEX(ShiftKnowledge!$D$2:$D$9,MATCH($B242&amp;"|"&amp;$D242,ShiftKnowledge!$A$2:$A$9,0)),"")))</f>
        <v/>
      </c>
      <c r="F242" s="6" t="inlineStr"/>
      <c r="G242" s="6">
        <f>IF(AND($I242="",$L242=""),"",IFERROR(VALUE($I242),0)+IFERROR(VALUE($L242),0))</f>
        <v/>
      </c>
      <c r="H242" s="6">
        <f>IF($D242="Custom","",IFERROR(XLOOKUP($B242&amp;"|"&amp;$D242,ShiftKnowledge!$A$2:$A$9,ShiftKnowledge!$E$2:$E$9,""),IFERROR(INDEX(ShiftKnowledge!$E$2:$E$9,MATCH($B242&amp;"|"&amp;$D242,ShiftKnowledge!$A$2:$A$9,0)),"")))</f>
        <v/>
      </c>
      <c r="I242" s="6">
        <f>IF($D242="Custom","",IFERROR(XLOOKUP($B242&amp;"|"&amp;$D242,ShiftKnowledge!$A$2:$A$9,ShiftKnowledge!$F$2:$F$9,""),IFERROR(INDEX(ShiftKnowledge!$F$2:$F$9,MATCH($B242&amp;"|"&amp;$D242,ShiftKnowledge!$A$2:$A$9,0)),"")))</f>
        <v/>
      </c>
      <c r="J242" s="6">
        <f>IF($D242="Custom","",IFERROR(XLOOKUP($B242&amp;"|"&amp;$D242,ShiftKnowledge!$A$2:$A$9,ShiftKnowledge!$G$2:$G$9,""),IFERROR(INDEX(ShiftKnowledge!$G$2:$G$9,MATCH($B242&amp;"|"&amp;$D242,ShiftKnowledge!$A$2:$A$9,0)),"")))</f>
        <v/>
      </c>
      <c r="K242" s="6">
        <f>IF($D242="Custom","",IFERROR(XLOOKUP($B242&amp;"|"&amp;$D242,ShiftKnowledge!$A$2:$A$9,ShiftKnowledge!$H$2:$H$9,""),IFERROR(INDEX(ShiftKnowledge!$H$2:$H$9,MATCH($B242&amp;"|"&amp;$D242,ShiftKnowledge!$A$2:$A$9,0)),"")))</f>
        <v/>
      </c>
      <c r="L242" s="6">
        <f>IF($D242="Custom","",IFERROR(XLOOKUP($B242&amp;"|"&amp;$D242,ShiftKnowledge!$A$2:$A$9,ShiftKnowledge!$I$2:$I$9,""),IFERROR(INDEX(ShiftKnowledge!$I$2:$I$9,MATCH($B242&amp;"|"&amp;$D242,ShiftKnowledge!$A$2:$A$9,0)),"")))</f>
        <v/>
      </c>
      <c r="M242" s="6" t="inlineStr"/>
    </row>
    <row r="243" ht="20" customHeight="1">
      <c r="A243" s="4" t="inlineStr">
        <is>
          <t>13/11/2025</t>
        </is>
      </c>
      <c r="B243" s="4" t="inlineStr">
        <is>
          <t>Gynaecology</t>
        </is>
      </c>
      <c r="C243" s="5" t="inlineStr">
        <is>
          <t>Dr. Joshila Chanu Yumnam Bhattarai</t>
        </is>
      </c>
      <c r="D243" s="4" t="inlineStr"/>
      <c r="E243" s="4">
        <f>IF($D243="Custom","",IFERROR(XLOOKUP($B243&amp;"|"&amp;$D243,ShiftKnowledge!$A$2:$A$9,ShiftKnowledge!$D$2:$D$9,""),IFERROR(INDEX(ShiftKnowledge!$D$2:$D$9,MATCH($B243&amp;"|"&amp;$D243,ShiftKnowledge!$A$2:$A$9,0)),"")))</f>
        <v/>
      </c>
      <c r="F243" s="4" t="inlineStr"/>
      <c r="G243" s="4">
        <f>IF(AND($I243="",$L243=""),"",IFERROR(VALUE($I243),0)+IFERROR(VALUE($L243),0))</f>
        <v/>
      </c>
      <c r="H243" s="4">
        <f>IF($D243="Custom","",IFERROR(XLOOKUP($B243&amp;"|"&amp;$D243,ShiftKnowledge!$A$2:$A$9,ShiftKnowledge!$E$2:$E$9,""),IFERROR(INDEX(ShiftKnowledge!$E$2:$E$9,MATCH($B243&amp;"|"&amp;$D243,ShiftKnowledge!$A$2:$A$9,0)),"")))</f>
        <v/>
      </c>
      <c r="I243" s="4">
        <f>IF($D243="Custom","",IFERROR(XLOOKUP($B243&amp;"|"&amp;$D243,ShiftKnowledge!$A$2:$A$9,ShiftKnowledge!$F$2:$F$9,""),IFERROR(INDEX(ShiftKnowledge!$F$2:$F$9,MATCH($B243&amp;"|"&amp;$D243,ShiftKnowledge!$A$2:$A$9,0)),"")))</f>
        <v/>
      </c>
      <c r="J243" s="4">
        <f>IF($D243="Custom","",IFERROR(XLOOKUP($B243&amp;"|"&amp;$D243,ShiftKnowledge!$A$2:$A$9,ShiftKnowledge!$G$2:$G$9,""),IFERROR(INDEX(ShiftKnowledge!$G$2:$G$9,MATCH($B243&amp;"|"&amp;$D243,ShiftKnowledge!$A$2:$A$9,0)),"")))</f>
        <v/>
      </c>
      <c r="K243" s="4">
        <f>IF($D243="Custom","",IFERROR(XLOOKUP($B243&amp;"|"&amp;$D243,ShiftKnowledge!$A$2:$A$9,ShiftKnowledge!$H$2:$H$9,""),IFERROR(INDEX(ShiftKnowledge!$H$2:$H$9,MATCH($B243&amp;"|"&amp;$D243,ShiftKnowledge!$A$2:$A$9,0)),"")))</f>
        <v/>
      </c>
      <c r="L243" s="4">
        <f>IF($D243="Custom","",IFERROR(XLOOKUP($B243&amp;"|"&amp;$D243,ShiftKnowledge!$A$2:$A$9,ShiftKnowledge!$I$2:$I$9,""),IFERROR(INDEX(ShiftKnowledge!$I$2:$I$9,MATCH($B243&amp;"|"&amp;$D243,ShiftKnowledge!$A$2:$A$9,0)),"")))</f>
        <v/>
      </c>
      <c r="M243" s="4" t="inlineStr"/>
    </row>
    <row r="244" ht="20" customHeight="1">
      <c r="A244" s="6" t="inlineStr">
        <is>
          <t>13/11/2025</t>
        </is>
      </c>
      <c r="B244" s="6" t="inlineStr">
        <is>
          <t>Gynaecology</t>
        </is>
      </c>
      <c r="C244" s="7" t="inlineStr">
        <is>
          <t>Dr. Jumailath Beygum</t>
        </is>
      </c>
      <c r="D244" s="6" t="inlineStr"/>
      <c r="E244" s="6">
        <f>IF($D244="Custom","",IFERROR(XLOOKUP($B244&amp;"|"&amp;$D244,ShiftKnowledge!$A$2:$A$9,ShiftKnowledge!$D$2:$D$9,""),IFERROR(INDEX(ShiftKnowledge!$D$2:$D$9,MATCH($B244&amp;"|"&amp;$D244,ShiftKnowledge!$A$2:$A$9,0)),"")))</f>
        <v/>
      </c>
      <c r="F244" s="6" t="inlineStr"/>
      <c r="G244" s="6">
        <f>IF(AND($I244="",$L244=""),"",IFERROR(VALUE($I244),0)+IFERROR(VALUE($L244),0))</f>
        <v/>
      </c>
      <c r="H244" s="6">
        <f>IF($D244="Custom","",IFERROR(XLOOKUP($B244&amp;"|"&amp;$D244,ShiftKnowledge!$A$2:$A$9,ShiftKnowledge!$E$2:$E$9,""),IFERROR(INDEX(ShiftKnowledge!$E$2:$E$9,MATCH($B244&amp;"|"&amp;$D244,ShiftKnowledge!$A$2:$A$9,0)),"")))</f>
        <v/>
      </c>
      <c r="I244" s="6">
        <f>IF($D244="Custom","",IFERROR(XLOOKUP($B244&amp;"|"&amp;$D244,ShiftKnowledge!$A$2:$A$9,ShiftKnowledge!$F$2:$F$9,""),IFERROR(INDEX(ShiftKnowledge!$F$2:$F$9,MATCH($B244&amp;"|"&amp;$D244,ShiftKnowledge!$A$2:$A$9,0)),"")))</f>
        <v/>
      </c>
      <c r="J244" s="6">
        <f>IF($D244="Custom","",IFERROR(XLOOKUP($B244&amp;"|"&amp;$D244,ShiftKnowledge!$A$2:$A$9,ShiftKnowledge!$G$2:$G$9,""),IFERROR(INDEX(ShiftKnowledge!$G$2:$G$9,MATCH($B244&amp;"|"&amp;$D244,ShiftKnowledge!$A$2:$A$9,0)),"")))</f>
        <v/>
      </c>
      <c r="K244" s="6">
        <f>IF($D244="Custom","",IFERROR(XLOOKUP($B244&amp;"|"&amp;$D244,ShiftKnowledge!$A$2:$A$9,ShiftKnowledge!$H$2:$H$9,""),IFERROR(INDEX(ShiftKnowledge!$H$2:$H$9,MATCH($B244&amp;"|"&amp;$D244,ShiftKnowledge!$A$2:$A$9,0)),"")))</f>
        <v/>
      </c>
      <c r="L244" s="6">
        <f>IF($D244="Custom","",IFERROR(XLOOKUP($B244&amp;"|"&amp;$D244,ShiftKnowledge!$A$2:$A$9,ShiftKnowledge!$I$2:$I$9,""),IFERROR(INDEX(ShiftKnowledge!$I$2:$I$9,MATCH($B244&amp;"|"&amp;$D244,ShiftKnowledge!$A$2:$A$9,0)),"")))</f>
        <v/>
      </c>
      <c r="M244" s="6" t="inlineStr"/>
    </row>
    <row r="245" ht="20" customHeight="1">
      <c r="A245" s="4" t="inlineStr">
        <is>
          <t>13/11/2025</t>
        </is>
      </c>
      <c r="B245" s="4" t="inlineStr">
        <is>
          <t>General Surgery</t>
        </is>
      </c>
      <c r="C245" s="5" t="inlineStr">
        <is>
          <t>Dr. Khine Su Kyi</t>
        </is>
      </c>
      <c r="D245" s="4" t="inlineStr"/>
      <c r="E245" s="4">
        <f>IF($D245="Custom","",IFERROR(XLOOKUP($B245&amp;"|"&amp;$D245,ShiftKnowledge!$A$2:$A$9,ShiftKnowledge!$D$2:$D$9,""),IFERROR(INDEX(ShiftKnowledge!$D$2:$D$9,MATCH($B245&amp;"|"&amp;$D245,ShiftKnowledge!$A$2:$A$9,0)),"")))</f>
        <v/>
      </c>
      <c r="F245" s="4" t="inlineStr"/>
      <c r="G245" s="4">
        <f>IF(AND($I245="",$L245=""),"",IFERROR(VALUE($I245),0)+IFERROR(VALUE($L245),0))</f>
        <v/>
      </c>
      <c r="H245" s="4">
        <f>IF($D245="Custom","",IFERROR(XLOOKUP($B245&amp;"|"&amp;$D245,ShiftKnowledge!$A$2:$A$9,ShiftKnowledge!$E$2:$E$9,""),IFERROR(INDEX(ShiftKnowledge!$E$2:$E$9,MATCH($B245&amp;"|"&amp;$D245,ShiftKnowledge!$A$2:$A$9,0)),"")))</f>
        <v/>
      </c>
      <c r="I245" s="4">
        <f>IF($D245="Custom","",IFERROR(XLOOKUP($B245&amp;"|"&amp;$D245,ShiftKnowledge!$A$2:$A$9,ShiftKnowledge!$F$2:$F$9,""),IFERROR(INDEX(ShiftKnowledge!$F$2:$F$9,MATCH($B245&amp;"|"&amp;$D245,ShiftKnowledge!$A$2:$A$9,0)),"")))</f>
        <v/>
      </c>
      <c r="J245" s="4">
        <f>IF($D245="Custom","",IFERROR(XLOOKUP($B245&amp;"|"&amp;$D245,ShiftKnowledge!$A$2:$A$9,ShiftKnowledge!$G$2:$G$9,""),IFERROR(INDEX(ShiftKnowledge!$G$2:$G$9,MATCH($B245&amp;"|"&amp;$D245,ShiftKnowledge!$A$2:$A$9,0)),"")))</f>
        <v/>
      </c>
      <c r="K245" s="4">
        <f>IF($D245="Custom","",IFERROR(XLOOKUP($B245&amp;"|"&amp;$D245,ShiftKnowledge!$A$2:$A$9,ShiftKnowledge!$H$2:$H$9,""),IFERROR(INDEX(ShiftKnowledge!$H$2:$H$9,MATCH($B245&amp;"|"&amp;$D245,ShiftKnowledge!$A$2:$A$9,0)),"")))</f>
        <v/>
      </c>
      <c r="L245" s="4">
        <f>IF($D245="Custom","",IFERROR(XLOOKUP($B245&amp;"|"&amp;$D245,ShiftKnowledge!$A$2:$A$9,ShiftKnowledge!$I$2:$I$9,""),IFERROR(INDEX(ShiftKnowledge!$I$2:$I$9,MATCH($B245&amp;"|"&amp;$D245,ShiftKnowledge!$A$2:$A$9,0)),"")))</f>
        <v/>
      </c>
      <c r="M245" s="4" t="inlineStr"/>
    </row>
    <row r="246" ht="20" customHeight="1">
      <c r="A246" s="6" t="inlineStr">
        <is>
          <t>13/11/2025</t>
        </is>
      </c>
      <c r="B246" s="6" t="inlineStr">
        <is>
          <t>Dental</t>
        </is>
      </c>
      <c r="C246" s="7" t="inlineStr">
        <is>
          <t>Dr. Mariyam Afza Zuhair</t>
        </is>
      </c>
      <c r="D246" s="6" t="inlineStr"/>
      <c r="E246" s="6">
        <f>IF($D246="Custom","",IFERROR(XLOOKUP($B246&amp;"|"&amp;$D246,ShiftKnowledge!$A$2:$A$9,ShiftKnowledge!$D$2:$D$9,""),IFERROR(INDEX(ShiftKnowledge!$D$2:$D$9,MATCH($B246&amp;"|"&amp;$D246,ShiftKnowledge!$A$2:$A$9,0)),"")))</f>
        <v/>
      </c>
      <c r="F246" s="6" t="inlineStr"/>
      <c r="G246" s="6">
        <f>IF(AND($I246="",$L246=""),"",IFERROR(VALUE($I246),0)+IFERROR(VALUE($L246),0))</f>
        <v/>
      </c>
      <c r="H246" s="6">
        <f>IF($D246="Custom","",IFERROR(XLOOKUP($B246&amp;"|"&amp;$D246,ShiftKnowledge!$A$2:$A$9,ShiftKnowledge!$E$2:$E$9,""),IFERROR(INDEX(ShiftKnowledge!$E$2:$E$9,MATCH($B246&amp;"|"&amp;$D246,ShiftKnowledge!$A$2:$A$9,0)),"")))</f>
        <v/>
      </c>
      <c r="I246" s="6">
        <f>IF($D246="Custom","",IFERROR(XLOOKUP($B246&amp;"|"&amp;$D246,ShiftKnowledge!$A$2:$A$9,ShiftKnowledge!$F$2:$F$9,""),IFERROR(INDEX(ShiftKnowledge!$F$2:$F$9,MATCH($B246&amp;"|"&amp;$D246,ShiftKnowledge!$A$2:$A$9,0)),"")))</f>
        <v/>
      </c>
      <c r="J246" s="6">
        <f>IF($D246="Custom","",IFERROR(XLOOKUP($B246&amp;"|"&amp;$D246,ShiftKnowledge!$A$2:$A$9,ShiftKnowledge!$G$2:$G$9,""),IFERROR(INDEX(ShiftKnowledge!$G$2:$G$9,MATCH($B246&amp;"|"&amp;$D246,ShiftKnowledge!$A$2:$A$9,0)),"")))</f>
        <v/>
      </c>
      <c r="K246" s="6">
        <f>IF($D246="Custom","",IFERROR(XLOOKUP($B246&amp;"|"&amp;$D246,ShiftKnowledge!$A$2:$A$9,ShiftKnowledge!$H$2:$H$9,""),IFERROR(INDEX(ShiftKnowledge!$H$2:$H$9,MATCH($B246&amp;"|"&amp;$D246,ShiftKnowledge!$A$2:$A$9,0)),"")))</f>
        <v/>
      </c>
      <c r="L246" s="6">
        <f>IF($D246="Custom","",IFERROR(XLOOKUP($B246&amp;"|"&amp;$D246,ShiftKnowledge!$A$2:$A$9,ShiftKnowledge!$I$2:$I$9,""),IFERROR(INDEX(ShiftKnowledge!$I$2:$I$9,MATCH($B246&amp;"|"&amp;$D246,ShiftKnowledge!$A$2:$A$9,0)),"")))</f>
        <v/>
      </c>
      <c r="M246" s="6" t="inlineStr"/>
    </row>
    <row r="247" ht="20" customHeight="1">
      <c r="A247" s="4" t="inlineStr">
        <is>
          <t>13/11/2025</t>
        </is>
      </c>
      <c r="B247" s="4" t="inlineStr">
        <is>
          <t>Psychiatry</t>
        </is>
      </c>
      <c r="C247" s="5" t="inlineStr">
        <is>
          <t>Dr. Maumoon Shareef</t>
        </is>
      </c>
      <c r="D247" s="4" t="inlineStr"/>
      <c r="E247" s="4">
        <f>IF($D247="Custom","",IFERROR(XLOOKUP($B247&amp;"|"&amp;$D247,ShiftKnowledge!$A$2:$A$9,ShiftKnowledge!$D$2:$D$9,""),IFERROR(INDEX(ShiftKnowledge!$D$2:$D$9,MATCH($B247&amp;"|"&amp;$D247,ShiftKnowledge!$A$2:$A$9,0)),"")))</f>
        <v/>
      </c>
      <c r="F247" s="4" t="inlineStr"/>
      <c r="G247" s="4">
        <f>IF(AND($I247="",$L247=""),"",IFERROR(VALUE($I247),0)+IFERROR(VALUE($L247),0))</f>
        <v/>
      </c>
      <c r="H247" s="4">
        <f>IF($D247="Custom","",IFERROR(XLOOKUP($B247&amp;"|"&amp;$D247,ShiftKnowledge!$A$2:$A$9,ShiftKnowledge!$E$2:$E$9,""),IFERROR(INDEX(ShiftKnowledge!$E$2:$E$9,MATCH($B247&amp;"|"&amp;$D247,ShiftKnowledge!$A$2:$A$9,0)),"")))</f>
        <v/>
      </c>
      <c r="I247" s="4">
        <f>IF($D247="Custom","",IFERROR(XLOOKUP($B247&amp;"|"&amp;$D247,ShiftKnowledge!$A$2:$A$9,ShiftKnowledge!$F$2:$F$9,""),IFERROR(INDEX(ShiftKnowledge!$F$2:$F$9,MATCH($B247&amp;"|"&amp;$D247,ShiftKnowledge!$A$2:$A$9,0)),"")))</f>
        <v/>
      </c>
      <c r="J247" s="4">
        <f>IF($D247="Custom","",IFERROR(XLOOKUP($B247&amp;"|"&amp;$D247,ShiftKnowledge!$A$2:$A$9,ShiftKnowledge!$G$2:$G$9,""),IFERROR(INDEX(ShiftKnowledge!$G$2:$G$9,MATCH($B247&amp;"|"&amp;$D247,ShiftKnowledge!$A$2:$A$9,0)),"")))</f>
        <v/>
      </c>
      <c r="K247" s="4">
        <f>IF($D247="Custom","",IFERROR(XLOOKUP($B247&amp;"|"&amp;$D247,ShiftKnowledge!$A$2:$A$9,ShiftKnowledge!$H$2:$H$9,""),IFERROR(INDEX(ShiftKnowledge!$H$2:$H$9,MATCH($B247&amp;"|"&amp;$D247,ShiftKnowledge!$A$2:$A$9,0)),"")))</f>
        <v/>
      </c>
      <c r="L247" s="4">
        <f>IF($D247="Custom","",IFERROR(XLOOKUP($B247&amp;"|"&amp;$D247,ShiftKnowledge!$A$2:$A$9,ShiftKnowledge!$I$2:$I$9,""),IFERROR(INDEX(ShiftKnowledge!$I$2:$I$9,MATCH($B247&amp;"|"&amp;$D247,ShiftKnowledge!$A$2:$A$9,0)),"")))</f>
        <v/>
      </c>
      <c r="M247" s="4" t="inlineStr"/>
    </row>
    <row r="248" ht="20" customHeight="1">
      <c r="A248" s="6" t="inlineStr">
        <is>
          <t>13/11/2025</t>
        </is>
      </c>
      <c r="B248" s="6" t="inlineStr">
        <is>
          <t>Internal Medicine</t>
        </is>
      </c>
      <c r="C248" s="7" t="inlineStr">
        <is>
          <t>Dr. Mihuna Ibrahim</t>
        </is>
      </c>
      <c r="D248" s="6" t="inlineStr"/>
      <c r="E248" s="6">
        <f>IF($D248="Custom","",IFERROR(XLOOKUP($B248&amp;"|"&amp;$D248,ShiftKnowledge!$A$2:$A$9,ShiftKnowledge!$D$2:$D$9,""),IFERROR(INDEX(ShiftKnowledge!$D$2:$D$9,MATCH($B248&amp;"|"&amp;$D248,ShiftKnowledge!$A$2:$A$9,0)),"")))</f>
        <v/>
      </c>
      <c r="F248" s="6" t="inlineStr"/>
      <c r="G248" s="6">
        <f>IF(AND($I248="",$L248=""),"",IFERROR(VALUE($I248),0)+IFERROR(VALUE($L248),0))</f>
        <v/>
      </c>
      <c r="H248" s="6">
        <f>IF($D248="Custom","",IFERROR(XLOOKUP($B248&amp;"|"&amp;$D248,ShiftKnowledge!$A$2:$A$9,ShiftKnowledge!$E$2:$E$9,""),IFERROR(INDEX(ShiftKnowledge!$E$2:$E$9,MATCH($B248&amp;"|"&amp;$D248,ShiftKnowledge!$A$2:$A$9,0)),"")))</f>
        <v/>
      </c>
      <c r="I248" s="6">
        <f>IF($D248="Custom","",IFERROR(XLOOKUP($B248&amp;"|"&amp;$D248,ShiftKnowledge!$A$2:$A$9,ShiftKnowledge!$F$2:$F$9,""),IFERROR(INDEX(ShiftKnowledge!$F$2:$F$9,MATCH($B248&amp;"|"&amp;$D248,ShiftKnowledge!$A$2:$A$9,0)),"")))</f>
        <v/>
      </c>
      <c r="J248" s="6">
        <f>IF($D248="Custom","",IFERROR(XLOOKUP($B248&amp;"|"&amp;$D248,ShiftKnowledge!$A$2:$A$9,ShiftKnowledge!$G$2:$G$9,""),IFERROR(INDEX(ShiftKnowledge!$G$2:$G$9,MATCH($B248&amp;"|"&amp;$D248,ShiftKnowledge!$A$2:$A$9,0)),"")))</f>
        <v/>
      </c>
      <c r="K248" s="6">
        <f>IF($D248="Custom","",IFERROR(XLOOKUP($B248&amp;"|"&amp;$D248,ShiftKnowledge!$A$2:$A$9,ShiftKnowledge!$H$2:$H$9,""),IFERROR(INDEX(ShiftKnowledge!$H$2:$H$9,MATCH($B248&amp;"|"&amp;$D248,ShiftKnowledge!$A$2:$A$9,0)),"")))</f>
        <v/>
      </c>
      <c r="L248" s="6">
        <f>IF($D248="Custom","",IFERROR(XLOOKUP($B248&amp;"|"&amp;$D248,ShiftKnowledge!$A$2:$A$9,ShiftKnowledge!$I$2:$I$9,""),IFERROR(INDEX(ShiftKnowledge!$I$2:$I$9,MATCH($B248&amp;"|"&amp;$D248,ShiftKnowledge!$A$2:$A$9,0)),"")))</f>
        <v/>
      </c>
      <c r="M248" s="6" t="inlineStr"/>
    </row>
    <row r="249" ht="20" customHeight="1">
      <c r="A249" s="4" t="inlineStr">
        <is>
          <t>13/11/2025</t>
        </is>
      </c>
      <c r="B249" s="4" t="inlineStr">
        <is>
          <t>Endocrinology</t>
        </is>
      </c>
      <c r="C249" s="5" t="inlineStr">
        <is>
          <t>Dr. Mohamed Wisham</t>
        </is>
      </c>
      <c r="D249" s="4" t="inlineStr"/>
      <c r="E249" s="4">
        <f>IF($D249="Custom","",IFERROR(XLOOKUP($B249&amp;"|"&amp;$D249,ShiftKnowledge!$A$2:$A$9,ShiftKnowledge!$D$2:$D$9,""),IFERROR(INDEX(ShiftKnowledge!$D$2:$D$9,MATCH($B249&amp;"|"&amp;$D249,ShiftKnowledge!$A$2:$A$9,0)),"")))</f>
        <v/>
      </c>
      <c r="F249" s="4" t="inlineStr"/>
      <c r="G249" s="4">
        <f>IF(AND($I249="",$L249=""),"",IFERROR(VALUE($I249),0)+IFERROR(VALUE($L249),0))</f>
        <v/>
      </c>
      <c r="H249" s="4">
        <f>IF($D249="Custom","",IFERROR(XLOOKUP($B249&amp;"|"&amp;$D249,ShiftKnowledge!$A$2:$A$9,ShiftKnowledge!$E$2:$E$9,""),IFERROR(INDEX(ShiftKnowledge!$E$2:$E$9,MATCH($B249&amp;"|"&amp;$D249,ShiftKnowledge!$A$2:$A$9,0)),"")))</f>
        <v/>
      </c>
      <c r="I249" s="4">
        <f>IF($D249="Custom","",IFERROR(XLOOKUP($B249&amp;"|"&amp;$D249,ShiftKnowledge!$A$2:$A$9,ShiftKnowledge!$F$2:$F$9,""),IFERROR(INDEX(ShiftKnowledge!$F$2:$F$9,MATCH($B249&amp;"|"&amp;$D249,ShiftKnowledge!$A$2:$A$9,0)),"")))</f>
        <v/>
      </c>
      <c r="J249" s="4">
        <f>IF($D249="Custom","",IFERROR(XLOOKUP($B249&amp;"|"&amp;$D249,ShiftKnowledge!$A$2:$A$9,ShiftKnowledge!$G$2:$G$9,""),IFERROR(INDEX(ShiftKnowledge!$G$2:$G$9,MATCH($B249&amp;"|"&amp;$D249,ShiftKnowledge!$A$2:$A$9,0)),"")))</f>
        <v/>
      </c>
      <c r="K249" s="4">
        <f>IF($D249="Custom","",IFERROR(XLOOKUP($B249&amp;"|"&amp;$D249,ShiftKnowledge!$A$2:$A$9,ShiftKnowledge!$H$2:$H$9,""),IFERROR(INDEX(ShiftKnowledge!$H$2:$H$9,MATCH($B249&amp;"|"&amp;$D249,ShiftKnowledge!$A$2:$A$9,0)),"")))</f>
        <v/>
      </c>
      <c r="L249" s="4">
        <f>IF($D249="Custom","",IFERROR(XLOOKUP($B249&amp;"|"&amp;$D249,ShiftKnowledge!$A$2:$A$9,ShiftKnowledge!$I$2:$I$9,""),IFERROR(INDEX(ShiftKnowledge!$I$2:$I$9,MATCH($B249&amp;"|"&amp;$D249,ShiftKnowledge!$A$2:$A$9,0)),"")))</f>
        <v/>
      </c>
      <c r="M249" s="4" t="inlineStr"/>
    </row>
    <row r="250" ht="20" customHeight="1">
      <c r="A250" s="6" t="inlineStr">
        <is>
          <t>13/11/2025</t>
        </is>
      </c>
      <c r="B250" s="6" t="inlineStr">
        <is>
          <t>Cardiology</t>
        </is>
      </c>
      <c r="C250" s="7" t="inlineStr">
        <is>
          <t>Dr. Moosa Manik</t>
        </is>
      </c>
      <c r="D250" s="6" t="inlineStr"/>
      <c r="E250" s="6">
        <f>IF($D250="Custom","",IFERROR(XLOOKUP($B250&amp;"|"&amp;$D250,ShiftKnowledge!$A$2:$A$9,ShiftKnowledge!$D$2:$D$9,""),IFERROR(INDEX(ShiftKnowledge!$D$2:$D$9,MATCH($B250&amp;"|"&amp;$D250,ShiftKnowledge!$A$2:$A$9,0)),"")))</f>
        <v/>
      </c>
      <c r="F250" s="6" t="inlineStr"/>
      <c r="G250" s="6">
        <f>IF(AND($I250="",$L250=""),"",IFERROR(VALUE($I250),0)+IFERROR(VALUE($L250),0))</f>
        <v/>
      </c>
      <c r="H250" s="6">
        <f>IF($D250="Custom","",IFERROR(XLOOKUP($B250&amp;"|"&amp;$D250,ShiftKnowledge!$A$2:$A$9,ShiftKnowledge!$E$2:$E$9,""),IFERROR(INDEX(ShiftKnowledge!$E$2:$E$9,MATCH($B250&amp;"|"&amp;$D250,ShiftKnowledge!$A$2:$A$9,0)),"")))</f>
        <v/>
      </c>
      <c r="I250" s="6">
        <f>IF($D250="Custom","",IFERROR(XLOOKUP($B250&amp;"|"&amp;$D250,ShiftKnowledge!$A$2:$A$9,ShiftKnowledge!$F$2:$F$9,""),IFERROR(INDEX(ShiftKnowledge!$F$2:$F$9,MATCH($B250&amp;"|"&amp;$D250,ShiftKnowledge!$A$2:$A$9,0)),"")))</f>
        <v/>
      </c>
      <c r="J250" s="6">
        <f>IF($D250="Custom","",IFERROR(XLOOKUP($B250&amp;"|"&amp;$D250,ShiftKnowledge!$A$2:$A$9,ShiftKnowledge!$G$2:$G$9,""),IFERROR(INDEX(ShiftKnowledge!$G$2:$G$9,MATCH($B250&amp;"|"&amp;$D250,ShiftKnowledge!$A$2:$A$9,0)),"")))</f>
        <v/>
      </c>
      <c r="K250" s="6">
        <f>IF($D250="Custom","",IFERROR(XLOOKUP($B250&amp;"|"&amp;$D250,ShiftKnowledge!$A$2:$A$9,ShiftKnowledge!$H$2:$H$9,""),IFERROR(INDEX(ShiftKnowledge!$H$2:$H$9,MATCH($B250&amp;"|"&amp;$D250,ShiftKnowledge!$A$2:$A$9,0)),"")))</f>
        <v/>
      </c>
      <c r="L250" s="6">
        <f>IF($D250="Custom","",IFERROR(XLOOKUP($B250&amp;"|"&amp;$D250,ShiftKnowledge!$A$2:$A$9,ShiftKnowledge!$I$2:$I$9,""),IFERROR(INDEX(ShiftKnowledge!$I$2:$I$9,MATCH($B250&amp;"|"&amp;$D250,ShiftKnowledge!$A$2:$A$9,0)),"")))</f>
        <v/>
      </c>
      <c r="M250" s="6" t="inlineStr"/>
    </row>
    <row r="251" ht="20" customHeight="1">
      <c r="A251" s="4" t="inlineStr">
        <is>
          <t>13/11/2025</t>
        </is>
      </c>
      <c r="B251" s="4" t="inlineStr">
        <is>
          <t>Nephrology</t>
        </is>
      </c>
      <c r="C251" s="5" t="inlineStr">
        <is>
          <t>Dr. Muhammad Mujtaba Ur Rehman</t>
        </is>
      </c>
      <c r="D251" s="4" t="inlineStr"/>
      <c r="E251" s="4">
        <f>IF($D251="Custom","",IFERROR(XLOOKUP($B251&amp;"|"&amp;$D251,ShiftKnowledge!$A$2:$A$9,ShiftKnowledge!$D$2:$D$9,""),IFERROR(INDEX(ShiftKnowledge!$D$2:$D$9,MATCH($B251&amp;"|"&amp;$D251,ShiftKnowledge!$A$2:$A$9,0)),"")))</f>
        <v/>
      </c>
      <c r="F251" s="4" t="inlineStr"/>
      <c r="G251" s="4">
        <f>IF(AND($I251="",$L251=""),"",IFERROR(VALUE($I251),0)+IFERROR(VALUE($L251),0))</f>
        <v/>
      </c>
      <c r="H251" s="4">
        <f>IF($D251="Custom","",IFERROR(XLOOKUP($B251&amp;"|"&amp;$D251,ShiftKnowledge!$A$2:$A$9,ShiftKnowledge!$E$2:$E$9,""),IFERROR(INDEX(ShiftKnowledge!$E$2:$E$9,MATCH($B251&amp;"|"&amp;$D251,ShiftKnowledge!$A$2:$A$9,0)),"")))</f>
        <v/>
      </c>
      <c r="I251" s="4">
        <f>IF($D251="Custom","",IFERROR(XLOOKUP($B251&amp;"|"&amp;$D251,ShiftKnowledge!$A$2:$A$9,ShiftKnowledge!$F$2:$F$9,""),IFERROR(INDEX(ShiftKnowledge!$F$2:$F$9,MATCH($B251&amp;"|"&amp;$D251,ShiftKnowledge!$A$2:$A$9,0)),"")))</f>
        <v/>
      </c>
      <c r="J251" s="4">
        <f>IF($D251="Custom","",IFERROR(XLOOKUP($B251&amp;"|"&amp;$D251,ShiftKnowledge!$A$2:$A$9,ShiftKnowledge!$G$2:$G$9,""),IFERROR(INDEX(ShiftKnowledge!$G$2:$G$9,MATCH($B251&amp;"|"&amp;$D251,ShiftKnowledge!$A$2:$A$9,0)),"")))</f>
        <v/>
      </c>
      <c r="K251" s="4">
        <f>IF($D251="Custom","",IFERROR(XLOOKUP($B251&amp;"|"&amp;$D251,ShiftKnowledge!$A$2:$A$9,ShiftKnowledge!$H$2:$H$9,""),IFERROR(INDEX(ShiftKnowledge!$H$2:$H$9,MATCH($B251&amp;"|"&amp;$D251,ShiftKnowledge!$A$2:$A$9,0)),"")))</f>
        <v/>
      </c>
      <c r="L251" s="4">
        <f>IF($D251="Custom","",IFERROR(XLOOKUP($B251&amp;"|"&amp;$D251,ShiftKnowledge!$A$2:$A$9,ShiftKnowledge!$I$2:$I$9,""),IFERROR(INDEX(ShiftKnowledge!$I$2:$I$9,MATCH($B251&amp;"|"&amp;$D251,ShiftKnowledge!$A$2:$A$9,0)),"")))</f>
        <v/>
      </c>
      <c r="M251" s="4" t="inlineStr"/>
    </row>
    <row r="252" ht="20" customHeight="1">
      <c r="A252" s="6" t="inlineStr">
        <is>
          <t>13/11/2025</t>
        </is>
      </c>
      <c r="B252" s="6" t="inlineStr">
        <is>
          <t>Ophthalmology</t>
        </is>
      </c>
      <c r="C252" s="7" t="inlineStr">
        <is>
          <t>Dr. Nafeesa Abdul Latheef</t>
        </is>
      </c>
      <c r="D252" s="6" t="inlineStr"/>
      <c r="E252" s="6">
        <f>IF($D252="Custom","",IFERROR(XLOOKUP($B252&amp;"|"&amp;$D252,ShiftKnowledge!$A$2:$A$9,ShiftKnowledge!$D$2:$D$9,""),IFERROR(INDEX(ShiftKnowledge!$D$2:$D$9,MATCH($B252&amp;"|"&amp;$D252,ShiftKnowledge!$A$2:$A$9,0)),"")))</f>
        <v/>
      </c>
      <c r="F252" s="6" t="inlineStr"/>
      <c r="G252" s="6">
        <f>IF(AND($I252="",$L252=""),"",IFERROR(VALUE($I252),0)+IFERROR(VALUE($L252),0))</f>
        <v/>
      </c>
      <c r="H252" s="6">
        <f>IF($D252="Custom","",IFERROR(XLOOKUP($B252&amp;"|"&amp;$D252,ShiftKnowledge!$A$2:$A$9,ShiftKnowledge!$E$2:$E$9,""),IFERROR(INDEX(ShiftKnowledge!$E$2:$E$9,MATCH($B252&amp;"|"&amp;$D252,ShiftKnowledge!$A$2:$A$9,0)),"")))</f>
        <v/>
      </c>
      <c r="I252" s="6">
        <f>IF($D252="Custom","",IFERROR(XLOOKUP($B252&amp;"|"&amp;$D252,ShiftKnowledge!$A$2:$A$9,ShiftKnowledge!$F$2:$F$9,""),IFERROR(INDEX(ShiftKnowledge!$F$2:$F$9,MATCH($B252&amp;"|"&amp;$D252,ShiftKnowledge!$A$2:$A$9,0)),"")))</f>
        <v/>
      </c>
      <c r="J252" s="6">
        <f>IF($D252="Custom","",IFERROR(XLOOKUP($B252&amp;"|"&amp;$D252,ShiftKnowledge!$A$2:$A$9,ShiftKnowledge!$G$2:$G$9,""),IFERROR(INDEX(ShiftKnowledge!$G$2:$G$9,MATCH($B252&amp;"|"&amp;$D252,ShiftKnowledge!$A$2:$A$9,0)),"")))</f>
        <v/>
      </c>
      <c r="K252" s="6">
        <f>IF($D252="Custom","",IFERROR(XLOOKUP($B252&amp;"|"&amp;$D252,ShiftKnowledge!$A$2:$A$9,ShiftKnowledge!$H$2:$H$9,""),IFERROR(INDEX(ShiftKnowledge!$H$2:$H$9,MATCH($B252&amp;"|"&amp;$D252,ShiftKnowledge!$A$2:$A$9,0)),"")))</f>
        <v/>
      </c>
      <c r="L252" s="6">
        <f>IF($D252="Custom","",IFERROR(XLOOKUP($B252&amp;"|"&amp;$D252,ShiftKnowledge!$A$2:$A$9,ShiftKnowledge!$I$2:$I$9,""),IFERROR(INDEX(ShiftKnowledge!$I$2:$I$9,MATCH($B252&amp;"|"&amp;$D252,ShiftKnowledge!$A$2:$A$9,0)),"")))</f>
        <v/>
      </c>
      <c r="M252" s="6" t="inlineStr"/>
    </row>
    <row r="253" ht="20" customHeight="1">
      <c r="A253" s="4" t="inlineStr">
        <is>
          <t>13/11/2025</t>
        </is>
      </c>
      <c r="B253" s="4" t="inlineStr">
        <is>
          <t>ENT</t>
        </is>
      </c>
      <c r="C253" s="5" t="inlineStr">
        <is>
          <t>Dr. Nishesh Raj Shrestha</t>
        </is>
      </c>
      <c r="D253" s="4" t="inlineStr"/>
      <c r="E253" s="4">
        <f>IF($D253="Custom","",IFERROR(XLOOKUP($B253&amp;"|"&amp;$D253,ShiftKnowledge!$A$2:$A$9,ShiftKnowledge!$D$2:$D$9,""),IFERROR(INDEX(ShiftKnowledge!$D$2:$D$9,MATCH($B253&amp;"|"&amp;$D253,ShiftKnowledge!$A$2:$A$9,0)),"")))</f>
        <v/>
      </c>
      <c r="F253" s="4" t="inlineStr"/>
      <c r="G253" s="4">
        <f>IF(AND($I253="",$L253=""),"",IFERROR(VALUE($I253),0)+IFERROR(VALUE($L253),0))</f>
        <v/>
      </c>
      <c r="H253" s="4">
        <f>IF($D253="Custom","",IFERROR(XLOOKUP($B253&amp;"|"&amp;$D253,ShiftKnowledge!$A$2:$A$9,ShiftKnowledge!$E$2:$E$9,""),IFERROR(INDEX(ShiftKnowledge!$E$2:$E$9,MATCH($B253&amp;"|"&amp;$D253,ShiftKnowledge!$A$2:$A$9,0)),"")))</f>
        <v/>
      </c>
      <c r="I253" s="4">
        <f>IF($D253="Custom","",IFERROR(XLOOKUP($B253&amp;"|"&amp;$D253,ShiftKnowledge!$A$2:$A$9,ShiftKnowledge!$F$2:$F$9,""),IFERROR(INDEX(ShiftKnowledge!$F$2:$F$9,MATCH($B253&amp;"|"&amp;$D253,ShiftKnowledge!$A$2:$A$9,0)),"")))</f>
        <v/>
      </c>
      <c r="J253" s="4">
        <f>IF($D253="Custom","",IFERROR(XLOOKUP($B253&amp;"|"&amp;$D253,ShiftKnowledge!$A$2:$A$9,ShiftKnowledge!$G$2:$G$9,""),IFERROR(INDEX(ShiftKnowledge!$G$2:$G$9,MATCH($B253&amp;"|"&amp;$D253,ShiftKnowledge!$A$2:$A$9,0)),"")))</f>
        <v/>
      </c>
      <c r="K253" s="4">
        <f>IF($D253="Custom","",IFERROR(XLOOKUP($B253&amp;"|"&amp;$D253,ShiftKnowledge!$A$2:$A$9,ShiftKnowledge!$H$2:$H$9,""),IFERROR(INDEX(ShiftKnowledge!$H$2:$H$9,MATCH($B253&amp;"|"&amp;$D253,ShiftKnowledge!$A$2:$A$9,0)),"")))</f>
        <v/>
      </c>
      <c r="L253" s="4">
        <f>IF($D253="Custom","",IFERROR(XLOOKUP($B253&amp;"|"&amp;$D253,ShiftKnowledge!$A$2:$A$9,ShiftKnowledge!$I$2:$I$9,""),IFERROR(INDEX(ShiftKnowledge!$I$2:$I$9,MATCH($B253&amp;"|"&amp;$D253,ShiftKnowledge!$A$2:$A$9,0)),"")))</f>
        <v/>
      </c>
      <c r="M253" s="4" t="inlineStr"/>
    </row>
    <row r="254" ht="20" customHeight="1">
      <c r="A254" s="6" t="inlineStr">
        <is>
          <t>13/11/2025</t>
        </is>
      </c>
      <c r="B254" s="6" t="inlineStr">
        <is>
          <t>ENT</t>
        </is>
      </c>
      <c r="C254" s="7" t="inlineStr">
        <is>
          <t>Dr. Rachit Pokharel</t>
        </is>
      </c>
      <c r="D254" s="6" t="inlineStr"/>
      <c r="E254" s="6">
        <f>IF($D254="Custom","",IFERROR(XLOOKUP($B254&amp;"|"&amp;$D254,ShiftKnowledge!$A$2:$A$9,ShiftKnowledge!$D$2:$D$9,""),IFERROR(INDEX(ShiftKnowledge!$D$2:$D$9,MATCH($B254&amp;"|"&amp;$D254,ShiftKnowledge!$A$2:$A$9,0)),"")))</f>
        <v/>
      </c>
      <c r="F254" s="6" t="inlineStr"/>
      <c r="G254" s="6">
        <f>IF(AND($I254="",$L254=""),"",IFERROR(VALUE($I254),0)+IFERROR(VALUE($L254),0))</f>
        <v/>
      </c>
      <c r="H254" s="6">
        <f>IF($D254="Custom","",IFERROR(XLOOKUP($B254&amp;"|"&amp;$D254,ShiftKnowledge!$A$2:$A$9,ShiftKnowledge!$E$2:$E$9,""),IFERROR(INDEX(ShiftKnowledge!$E$2:$E$9,MATCH($B254&amp;"|"&amp;$D254,ShiftKnowledge!$A$2:$A$9,0)),"")))</f>
        <v/>
      </c>
      <c r="I254" s="6">
        <f>IF($D254="Custom","",IFERROR(XLOOKUP($B254&amp;"|"&amp;$D254,ShiftKnowledge!$A$2:$A$9,ShiftKnowledge!$F$2:$F$9,""),IFERROR(INDEX(ShiftKnowledge!$F$2:$F$9,MATCH($B254&amp;"|"&amp;$D254,ShiftKnowledge!$A$2:$A$9,0)),"")))</f>
        <v/>
      </c>
      <c r="J254" s="6">
        <f>IF($D254="Custom","",IFERROR(XLOOKUP($B254&amp;"|"&amp;$D254,ShiftKnowledge!$A$2:$A$9,ShiftKnowledge!$G$2:$G$9,""),IFERROR(INDEX(ShiftKnowledge!$G$2:$G$9,MATCH($B254&amp;"|"&amp;$D254,ShiftKnowledge!$A$2:$A$9,0)),"")))</f>
        <v/>
      </c>
      <c r="K254" s="6">
        <f>IF($D254="Custom","",IFERROR(XLOOKUP($B254&amp;"|"&amp;$D254,ShiftKnowledge!$A$2:$A$9,ShiftKnowledge!$H$2:$H$9,""),IFERROR(INDEX(ShiftKnowledge!$H$2:$H$9,MATCH($B254&amp;"|"&amp;$D254,ShiftKnowledge!$A$2:$A$9,0)),"")))</f>
        <v/>
      </c>
      <c r="L254" s="6">
        <f>IF($D254="Custom","",IFERROR(XLOOKUP($B254&amp;"|"&amp;$D254,ShiftKnowledge!$A$2:$A$9,ShiftKnowledge!$I$2:$I$9,""),IFERROR(INDEX(ShiftKnowledge!$I$2:$I$9,MATCH($B254&amp;"|"&amp;$D254,ShiftKnowledge!$A$2:$A$9,0)),"")))</f>
        <v/>
      </c>
      <c r="M254" s="6" t="inlineStr"/>
    </row>
    <row r="255" ht="20" customHeight="1">
      <c r="A255" s="4" t="inlineStr">
        <is>
          <t>13/11/2025</t>
        </is>
      </c>
      <c r="B255" s="4" t="inlineStr">
        <is>
          <t>Ophthalmology</t>
        </is>
      </c>
      <c r="C255" s="5" t="inlineStr">
        <is>
          <t>Dr. Remon Girgis Lamee Girgis</t>
        </is>
      </c>
      <c r="D255" s="4" t="inlineStr"/>
      <c r="E255" s="4">
        <f>IF($D255="Custom","",IFERROR(XLOOKUP($B255&amp;"|"&amp;$D255,ShiftKnowledge!$A$2:$A$9,ShiftKnowledge!$D$2:$D$9,""),IFERROR(INDEX(ShiftKnowledge!$D$2:$D$9,MATCH($B255&amp;"|"&amp;$D255,ShiftKnowledge!$A$2:$A$9,0)),"")))</f>
        <v/>
      </c>
      <c r="F255" s="4" t="inlineStr"/>
      <c r="G255" s="4">
        <f>IF(AND($I255="",$L255=""),"",IFERROR(VALUE($I255),0)+IFERROR(VALUE($L255),0))</f>
        <v/>
      </c>
      <c r="H255" s="4">
        <f>IF($D255="Custom","",IFERROR(XLOOKUP($B255&amp;"|"&amp;$D255,ShiftKnowledge!$A$2:$A$9,ShiftKnowledge!$E$2:$E$9,""),IFERROR(INDEX(ShiftKnowledge!$E$2:$E$9,MATCH($B255&amp;"|"&amp;$D255,ShiftKnowledge!$A$2:$A$9,0)),"")))</f>
        <v/>
      </c>
      <c r="I255" s="4">
        <f>IF($D255="Custom","",IFERROR(XLOOKUP($B255&amp;"|"&amp;$D255,ShiftKnowledge!$A$2:$A$9,ShiftKnowledge!$F$2:$F$9,""),IFERROR(INDEX(ShiftKnowledge!$F$2:$F$9,MATCH($B255&amp;"|"&amp;$D255,ShiftKnowledge!$A$2:$A$9,0)),"")))</f>
        <v/>
      </c>
      <c r="J255" s="4">
        <f>IF($D255="Custom","",IFERROR(XLOOKUP($B255&amp;"|"&amp;$D255,ShiftKnowledge!$A$2:$A$9,ShiftKnowledge!$G$2:$G$9,""),IFERROR(INDEX(ShiftKnowledge!$G$2:$G$9,MATCH($B255&amp;"|"&amp;$D255,ShiftKnowledge!$A$2:$A$9,0)),"")))</f>
        <v/>
      </c>
      <c r="K255" s="4">
        <f>IF($D255="Custom","",IFERROR(XLOOKUP($B255&amp;"|"&amp;$D255,ShiftKnowledge!$A$2:$A$9,ShiftKnowledge!$H$2:$H$9,""),IFERROR(INDEX(ShiftKnowledge!$H$2:$H$9,MATCH($B255&amp;"|"&amp;$D255,ShiftKnowledge!$A$2:$A$9,0)),"")))</f>
        <v/>
      </c>
      <c r="L255" s="4">
        <f>IF($D255="Custom","",IFERROR(XLOOKUP($B255&amp;"|"&amp;$D255,ShiftKnowledge!$A$2:$A$9,ShiftKnowledge!$I$2:$I$9,""),IFERROR(INDEX(ShiftKnowledge!$I$2:$I$9,MATCH($B255&amp;"|"&amp;$D255,ShiftKnowledge!$A$2:$A$9,0)),"")))</f>
        <v/>
      </c>
      <c r="M255" s="4" t="inlineStr"/>
    </row>
    <row r="256" ht="20" customHeight="1">
      <c r="A256" s="6" t="inlineStr">
        <is>
          <t>13/11/2025</t>
        </is>
      </c>
      <c r="B256" s="6" t="inlineStr">
        <is>
          <t>Paediatrics</t>
        </is>
      </c>
      <c r="C256" s="7" t="inlineStr">
        <is>
          <t>Dr. Roshan Kumar Dikshit</t>
        </is>
      </c>
      <c r="D256" s="6" t="inlineStr"/>
      <c r="E256" s="6">
        <f>IF($D256="Custom","",IFERROR(XLOOKUP($B256&amp;"|"&amp;$D256,ShiftKnowledge!$A$2:$A$9,ShiftKnowledge!$D$2:$D$9,""),IFERROR(INDEX(ShiftKnowledge!$D$2:$D$9,MATCH($B256&amp;"|"&amp;$D256,ShiftKnowledge!$A$2:$A$9,0)),"")))</f>
        <v/>
      </c>
      <c r="F256" s="6" t="inlineStr"/>
      <c r="G256" s="6">
        <f>IF(AND($I256="",$L256=""),"",IFERROR(VALUE($I256),0)+IFERROR(VALUE($L256),0))</f>
        <v/>
      </c>
      <c r="H256" s="6">
        <f>IF($D256="Custom","",IFERROR(XLOOKUP($B256&amp;"|"&amp;$D256,ShiftKnowledge!$A$2:$A$9,ShiftKnowledge!$E$2:$E$9,""),IFERROR(INDEX(ShiftKnowledge!$E$2:$E$9,MATCH($B256&amp;"|"&amp;$D256,ShiftKnowledge!$A$2:$A$9,0)),"")))</f>
        <v/>
      </c>
      <c r="I256" s="6">
        <f>IF($D256="Custom","",IFERROR(XLOOKUP($B256&amp;"|"&amp;$D256,ShiftKnowledge!$A$2:$A$9,ShiftKnowledge!$F$2:$F$9,""),IFERROR(INDEX(ShiftKnowledge!$F$2:$F$9,MATCH($B256&amp;"|"&amp;$D256,ShiftKnowledge!$A$2:$A$9,0)),"")))</f>
        <v/>
      </c>
      <c r="J256" s="6">
        <f>IF($D256="Custom","",IFERROR(XLOOKUP($B256&amp;"|"&amp;$D256,ShiftKnowledge!$A$2:$A$9,ShiftKnowledge!$G$2:$G$9,""),IFERROR(INDEX(ShiftKnowledge!$G$2:$G$9,MATCH($B256&amp;"|"&amp;$D256,ShiftKnowledge!$A$2:$A$9,0)),"")))</f>
        <v/>
      </c>
      <c r="K256" s="6">
        <f>IF($D256="Custom","",IFERROR(XLOOKUP($B256&amp;"|"&amp;$D256,ShiftKnowledge!$A$2:$A$9,ShiftKnowledge!$H$2:$H$9,""),IFERROR(INDEX(ShiftKnowledge!$H$2:$H$9,MATCH($B256&amp;"|"&amp;$D256,ShiftKnowledge!$A$2:$A$9,0)),"")))</f>
        <v/>
      </c>
      <c r="L256" s="6">
        <f>IF($D256="Custom","",IFERROR(XLOOKUP($B256&amp;"|"&amp;$D256,ShiftKnowledge!$A$2:$A$9,ShiftKnowledge!$I$2:$I$9,""),IFERROR(INDEX(ShiftKnowledge!$I$2:$I$9,MATCH($B256&amp;"|"&amp;$D256,ShiftKnowledge!$A$2:$A$9,0)),"")))</f>
        <v/>
      </c>
      <c r="M256" s="6" t="inlineStr"/>
    </row>
    <row r="257" ht="20" customHeight="1">
      <c r="A257" s="4" t="inlineStr">
        <is>
          <t>13/11/2025</t>
        </is>
      </c>
      <c r="B257" s="4" t="inlineStr">
        <is>
          <t>Ophthalmology</t>
        </is>
      </c>
      <c r="C257" s="5" t="inlineStr">
        <is>
          <t>Dr. Roxy Devi Chirom</t>
        </is>
      </c>
      <c r="D257" s="4" t="inlineStr"/>
      <c r="E257" s="4">
        <f>IF($D257="Custom","",IFERROR(XLOOKUP($B257&amp;"|"&amp;$D257,ShiftKnowledge!$A$2:$A$9,ShiftKnowledge!$D$2:$D$9,""),IFERROR(INDEX(ShiftKnowledge!$D$2:$D$9,MATCH($B257&amp;"|"&amp;$D257,ShiftKnowledge!$A$2:$A$9,0)),"")))</f>
        <v/>
      </c>
      <c r="F257" s="4" t="inlineStr"/>
      <c r="G257" s="4">
        <f>IF(AND($I257="",$L257=""),"",IFERROR(VALUE($I257),0)+IFERROR(VALUE($L257),0))</f>
        <v/>
      </c>
      <c r="H257" s="4">
        <f>IF($D257="Custom","",IFERROR(XLOOKUP($B257&amp;"|"&amp;$D257,ShiftKnowledge!$A$2:$A$9,ShiftKnowledge!$E$2:$E$9,""),IFERROR(INDEX(ShiftKnowledge!$E$2:$E$9,MATCH($B257&amp;"|"&amp;$D257,ShiftKnowledge!$A$2:$A$9,0)),"")))</f>
        <v/>
      </c>
      <c r="I257" s="4">
        <f>IF($D257="Custom","",IFERROR(XLOOKUP($B257&amp;"|"&amp;$D257,ShiftKnowledge!$A$2:$A$9,ShiftKnowledge!$F$2:$F$9,""),IFERROR(INDEX(ShiftKnowledge!$F$2:$F$9,MATCH($B257&amp;"|"&amp;$D257,ShiftKnowledge!$A$2:$A$9,0)),"")))</f>
        <v/>
      </c>
      <c r="J257" s="4">
        <f>IF($D257="Custom","",IFERROR(XLOOKUP($B257&amp;"|"&amp;$D257,ShiftKnowledge!$A$2:$A$9,ShiftKnowledge!$G$2:$G$9,""),IFERROR(INDEX(ShiftKnowledge!$G$2:$G$9,MATCH($B257&amp;"|"&amp;$D257,ShiftKnowledge!$A$2:$A$9,0)),"")))</f>
        <v/>
      </c>
      <c r="K257" s="4">
        <f>IF($D257="Custom","",IFERROR(XLOOKUP($B257&amp;"|"&amp;$D257,ShiftKnowledge!$A$2:$A$9,ShiftKnowledge!$H$2:$H$9,""),IFERROR(INDEX(ShiftKnowledge!$H$2:$H$9,MATCH($B257&amp;"|"&amp;$D257,ShiftKnowledge!$A$2:$A$9,0)),"")))</f>
        <v/>
      </c>
      <c r="L257" s="4">
        <f>IF($D257="Custom","",IFERROR(XLOOKUP($B257&amp;"|"&amp;$D257,ShiftKnowledge!$A$2:$A$9,ShiftKnowledge!$I$2:$I$9,""),IFERROR(INDEX(ShiftKnowledge!$I$2:$I$9,MATCH($B257&amp;"|"&amp;$D257,ShiftKnowledge!$A$2:$A$9,0)),"")))</f>
        <v/>
      </c>
      <c r="M257" s="4" t="inlineStr"/>
    </row>
    <row r="258" ht="20" customHeight="1">
      <c r="A258" s="6" t="inlineStr">
        <is>
          <t>13/11/2025</t>
        </is>
      </c>
      <c r="B258" s="6" t="inlineStr">
        <is>
          <t>General Surgery</t>
        </is>
      </c>
      <c r="C258" s="7" t="inlineStr">
        <is>
          <t>Dr. Rubab Nafees</t>
        </is>
      </c>
      <c r="D258" s="6" t="inlineStr"/>
      <c r="E258" s="6">
        <f>IF($D258="Custom","",IFERROR(XLOOKUP($B258&amp;"|"&amp;$D258,ShiftKnowledge!$A$2:$A$9,ShiftKnowledge!$D$2:$D$9,""),IFERROR(INDEX(ShiftKnowledge!$D$2:$D$9,MATCH($B258&amp;"|"&amp;$D258,ShiftKnowledge!$A$2:$A$9,0)),"")))</f>
        <v/>
      </c>
      <c r="F258" s="6" t="inlineStr"/>
      <c r="G258" s="6">
        <f>IF(AND($I258="",$L258=""),"",IFERROR(VALUE($I258),0)+IFERROR(VALUE($L258),0))</f>
        <v/>
      </c>
      <c r="H258" s="6">
        <f>IF($D258="Custom","",IFERROR(XLOOKUP($B258&amp;"|"&amp;$D258,ShiftKnowledge!$A$2:$A$9,ShiftKnowledge!$E$2:$E$9,""),IFERROR(INDEX(ShiftKnowledge!$E$2:$E$9,MATCH($B258&amp;"|"&amp;$D258,ShiftKnowledge!$A$2:$A$9,0)),"")))</f>
        <v/>
      </c>
      <c r="I258" s="6">
        <f>IF($D258="Custom","",IFERROR(XLOOKUP($B258&amp;"|"&amp;$D258,ShiftKnowledge!$A$2:$A$9,ShiftKnowledge!$F$2:$F$9,""),IFERROR(INDEX(ShiftKnowledge!$F$2:$F$9,MATCH($B258&amp;"|"&amp;$D258,ShiftKnowledge!$A$2:$A$9,0)),"")))</f>
        <v/>
      </c>
      <c r="J258" s="6">
        <f>IF($D258="Custom","",IFERROR(XLOOKUP($B258&amp;"|"&amp;$D258,ShiftKnowledge!$A$2:$A$9,ShiftKnowledge!$G$2:$G$9,""),IFERROR(INDEX(ShiftKnowledge!$G$2:$G$9,MATCH($B258&amp;"|"&amp;$D258,ShiftKnowledge!$A$2:$A$9,0)),"")))</f>
        <v/>
      </c>
      <c r="K258" s="6">
        <f>IF($D258="Custom","",IFERROR(XLOOKUP($B258&amp;"|"&amp;$D258,ShiftKnowledge!$A$2:$A$9,ShiftKnowledge!$H$2:$H$9,""),IFERROR(INDEX(ShiftKnowledge!$H$2:$H$9,MATCH($B258&amp;"|"&amp;$D258,ShiftKnowledge!$A$2:$A$9,0)),"")))</f>
        <v/>
      </c>
      <c r="L258" s="6">
        <f>IF($D258="Custom","",IFERROR(XLOOKUP($B258&amp;"|"&amp;$D258,ShiftKnowledge!$A$2:$A$9,ShiftKnowledge!$I$2:$I$9,""),IFERROR(INDEX(ShiftKnowledge!$I$2:$I$9,MATCH($B258&amp;"|"&amp;$D258,ShiftKnowledge!$A$2:$A$9,0)),"")))</f>
        <v/>
      </c>
      <c r="M258" s="6" t="inlineStr"/>
    </row>
    <row r="259" ht="20" customHeight="1">
      <c r="A259" s="4" t="inlineStr">
        <is>
          <t>13/11/2025</t>
        </is>
      </c>
      <c r="B259" s="4" t="inlineStr">
        <is>
          <t>Gynaecology</t>
        </is>
      </c>
      <c r="C259" s="5" t="inlineStr">
        <is>
          <t>Dr. Rubeena Badar Khan</t>
        </is>
      </c>
      <c r="D259" s="4" t="inlineStr"/>
      <c r="E259" s="4">
        <f>IF($D259="Custom","",IFERROR(XLOOKUP($B259&amp;"|"&amp;$D259,ShiftKnowledge!$A$2:$A$9,ShiftKnowledge!$D$2:$D$9,""),IFERROR(INDEX(ShiftKnowledge!$D$2:$D$9,MATCH($B259&amp;"|"&amp;$D259,ShiftKnowledge!$A$2:$A$9,0)),"")))</f>
        <v/>
      </c>
      <c r="F259" s="4" t="inlineStr"/>
      <c r="G259" s="4">
        <f>IF(AND($I259="",$L259=""),"",IFERROR(VALUE($I259),0)+IFERROR(VALUE($L259),0))</f>
        <v/>
      </c>
      <c r="H259" s="4">
        <f>IF($D259="Custom","",IFERROR(XLOOKUP($B259&amp;"|"&amp;$D259,ShiftKnowledge!$A$2:$A$9,ShiftKnowledge!$E$2:$E$9,""),IFERROR(INDEX(ShiftKnowledge!$E$2:$E$9,MATCH($B259&amp;"|"&amp;$D259,ShiftKnowledge!$A$2:$A$9,0)),"")))</f>
        <v/>
      </c>
      <c r="I259" s="4">
        <f>IF($D259="Custom","",IFERROR(XLOOKUP($B259&amp;"|"&amp;$D259,ShiftKnowledge!$A$2:$A$9,ShiftKnowledge!$F$2:$F$9,""),IFERROR(INDEX(ShiftKnowledge!$F$2:$F$9,MATCH($B259&amp;"|"&amp;$D259,ShiftKnowledge!$A$2:$A$9,0)),"")))</f>
        <v/>
      </c>
      <c r="J259" s="4">
        <f>IF($D259="Custom","",IFERROR(XLOOKUP($B259&amp;"|"&amp;$D259,ShiftKnowledge!$A$2:$A$9,ShiftKnowledge!$G$2:$G$9,""),IFERROR(INDEX(ShiftKnowledge!$G$2:$G$9,MATCH($B259&amp;"|"&amp;$D259,ShiftKnowledge!$A$2:$A$9,0)),"")))</f>
        <v/>
      </c>
      <c r="K259" s="4">
        <f>IF($D259="Custom","",IFERROR(XLOOKUP($B259&amp;"|"&amp;$D259,ShiftKnowledge!$A$2:$A$9,ShiftKnowledge!$H$2:$H$9,""),IFERROR(INDEX(ShiftKnowledge!$H$2:$H$9,MATCH($B259&amp;"|"&amp;$D259,ShiftKnowledge!$A$2:$A$9,0)),"")))</f>
        <v/>
      </c>
      <c r="L259" s="4">
        <f>IF($D259="Custom","",IFERROR(XLOOKUP($B259&amp;"|"&amp;$D259,ShiftKnowledge!$A$2:$A$9,ShiftKnowledge!$I$2:$I$9,""),IFERROR(INDEX(ShiftKnowledge!$I$2:$I$9,MATCH($B259&amp;"|"&amp;$D259,ShiftKnowledge!$A$2:$A$9,0)),"")))</f>
        <v/>
      </c>
      <c r="M259" s="4" t="inlineStr"/>
    </row>
    <row r="260" ht="20" customHeight="1">
      <c r="A260" s="6" t="inlineStr">
        <is>
          <t>13/11/2025</t>
        </is>
      </c>
      <c r="B260" s="6" t="inlineStr">
        <is>
          <t>Dental</t>
        </is>
      </c>
      <c r="C260" s="7" t="inlineStr">
        <is>
          <t>Dr. Safa Abdul Gayyoom</t>
        </is>
      </c>
      <c r="D260" s="6" t="inlineStr"/>
      <c r="E260" s="6">
        <f>IF($D260="Custom","",IFERROR(XLOOKUP($B260&amp;"|"&amp;$D260,ShiftKnowledge!$A$2:$A$9,ShiftKnowledge!$D$2:$D$9,""),IFERROR(INDEX(ShiftKnowledge!$D$2:$D$9,MATCH($B260&amp;"|"&amp;$D260,ShiftKnowledge!$A$2:$A$9,0)),"")))</f>
        <v/>
      </c>
      <c r="F260" s="6" t="inlineStr"/>
      <c r="G260" s="6">
        <f>IF(AND($I260="",$L260=""),"",IFERROR(VALUE($I260),0)+IFERROR(VALUE($L260),0))</f>
        <v/>
      </c>
      <c r="H260" s="6">
        <f>IF($D260="Custom","",IFERROR(XLOOKUP($B260&amp;"|"&amp;$D260,ShiftKnowledge!$A$2:$A$9,ShiftKnowledge!$E$2:$E$9,""),IFERROR(INDEX(ShiftKnowledge!$E$2:$E$9,MATCH($B260&amp;"|"&amp;$D260,ShiftKnowledge!$A$2:$A$9,0)),"")))</f>
        <v/>
      </c>
      <c r="I260" s="6">
        <f>IF($D260="Custom","",IFERROR(XLOOKUP($B260&amp;"|"&amp;$D260,ShiftKnowledge!$A$2:$A$9,ShiftKnowledge!$F$2:$F$9,""),IFERROR(INDEX(ShiftKnowledge!$F$2:$F$9,MATCH($B260&amp;"|"&amp;$D260,ShiftKnowledge!$A$2:$A$9,0)),"")))</f>
        <v/>
      </c>
      <c r="J260" s="6">
        <f>IF($D260="Custom","",IFERROR(XLOOKUP($B260&amp;"|"&amp;$D260,ShiftKnowledge!$A$2:$A$9,ShiftKnowledge!$G$2:$G$9,""),IFERROR(INDEX(ShiftKnowledge!$G$2:$G$9,MATCH($B260&amp;"|"&amp;$D260,ShiftKnowledge!$A$2:$A$9,0)),"")))</f>
        <v/>
      </c>
      <c r="K260" s="6">
        <f>IF($D260="Custom","",IFERROR(XLOOKUP($B260&amp;"|"&amp;$D260,ShiftKnowledge!$A$2:$A$9,ShiftKnowledge!$H$2:$H$9,""),IFERROR(INDEX(ShiftKnowledge!$H$2:$H$9,MATCH($B260&amp;"|"&amp;$D260,ShiftKnowledge!$A$2:$A$9,0)),"")))</f>
        <v/>
      </c>
      <c r="L260" s="6">
        <f>IF($D260="Custom","",IFERROR(XLOOKUP($B260&amp;"|"&amp;$D260,ShiftKnowledge!$A$2:$A$9,ShiftKnowledge!$I$2:$I$9,""),IFERROR(INDEX(ShiftKnowledge!$I$2:$I$9,MATCH($B260&amp;"|"&amp;$D260,ShiftKnowledge!$A$2:$A$9,0)),"")))</f>
        <v/>
      </c>
      <c r="M260" s="6" t="inlineStr"/>
    </row>
    <row r="261" ht="20" customHeight="1">
      <c r="A261" s="4" t="inlineStr">
        <is>
          <t>13/11/2025</t>
        </is>
      </c>
      <c r="B261" s="4" t="inlineStr">
        <is>
          <t>Internal Medicine</t>
        </is>
      </c>
      <c r="C261" s="5" t="inlineStr">
        <is>
          <t>Dr. Saroj Thapa</t>
        </is>
      </c>
      <c r="D261" s="4" t="inlineStr"/>
      <c r="E261" s="4">
        <f>IF($D261="Custom","",IFERROR(XLOOKUP($B261&amp;"|"&amp;$D261,ShiftKnowledge!$A$2:$A$9,ShiftKnowledge!$D$2:$D$9,""),IFERROR(INDEX(ShiftKnowledge!$D$2:$D$9,MATCH($B261&amp;"|"&amp;$D261,ShiftKnowledge!$A$2:$A$9,0)),"")))</f>
        <v/>
      </c>
      <c r="F261" s="4" t="inlineStr"/>
      <c r="G261" s="4">
        <f>IF(AND($I261="",$L261=""),"",IFERROR(VALUE($I261),0)+IFERROR(VALUE($L261),0))</f>
        <v/>
      </c>
      <c r="H261" s="4">
        <f>IF($D261="Custom","",IFERROR(XLOOKUP($B261&amp;"|"&amp;$D261,ShiftKnowledge!$A$2:$A$9,ShiftKnowledge!$E$2:$E$9,""),IFERROR(INDEX(ShiftKnowledge!$E$2:$E$9,MATCH($B261&amp;"|"&amp;$D261,ShiftKnowledge!$A$2:$A$9,0)),"")))</f>
        <v/>
      </c>
      <c r="I261" s="4">
        <f>IF($D261="Custom","",IFERROR(XLOOKUP($B261&amp;"|"&amp;$D261,ShiftKnowledge!$A$2:$A$9,ShiftKnowledge!$F$2:$F$9,""),IFERROR(INDEX(ShiftKnowledge!$F$2:$F$9,MATCH($B261&amp;"|"&amp;$D261,ShiftKnowledge!$A$2:$A$9,0)),"")))</f>
        <v/>
      </c>
      <c r="J261" s="4">
        <f>IF($D261="Custom","",IFERROR(XLOOKUP($B261&amp;"|"&amp;$D261,ShiftKnowledge!$A$2:$A$9,ShiftKnowledge!$G$2:$G$9,""),IFERROR(INDEX(ShiftKnowledge!$G$2:$G$9,MATCH($B261&amp;"|"&amp;$D261,ShiftKnowledge!$A$2:$A$9,0)),"")))</f>
        <v/>
      </c>
      <c r="K261" s="4">
        <f>IF($D261="Custom","",IFERROR(XLOOKUP($B261&amp;"|"&amp;$D261,ShiftKnowledge!$A$2:$A$9,ShiftKnowledge!$H$2:$H$9,""),IFERROR(INDEX(ShiftKnowledge!$H$2:$H$9,MATCH($B261&amp;"|"&amp;$D261,ShiftKnowledge!$A$2:$A$9,0)),"")))</f>
        <v/>
      </c>
      <c r="L261" s="4">
        <f>IF($D261="Custom","",IFERROR(XLOOKUP($B261&amp;"|"&amp;$D261,ShiftKnowledge!$A$2:$A$9,ShiftKnowledge!$I$2:$I$9,""),IFERROR(INDEX(ShiftKnowledge!$I$2:$I$9,MATCH($B261&amp;"|"&amp;$D261,ShiftKnowledge!$A$2:$A$9,0)),"")))</f>
        <v/>
      </c>
      <c r="M261" s="4" t="inlineStr"/>
    </row>
    <row r="262" ht="20" customHeight="1">
      <c r="A262" s="6" t="inlineStr">
        <is>
          <t>13/11/2025</t>
        </is>
      </c>
      <c r="B262" s="6" t="inlineStr">
        <is>
          <t>General Surgery</t>
        </is>
      </c>
      <c r="C262" s="7" t="inlineStr">
        <is>
          <t>Dr. Su Mon Kyaw</t>
        </is>
      </c>
      <c r="D262" s="6" t="inlineStr"/>
      <c r="E262" s="6">
        <f>IF($D262="Custom","",IFERROR(XLOOKUP($B262&amp;"|"&amp;$D262,ShiftKnowledge!$A$2:$A$9,ShiftKnowledge!$D$2:$D$9,""),IFERROR(INDEX(ShiftKnowledge!$D$2:$D$9,MATCH($B262&amp;"|"&amp;$D262,ShiftKnowledge!$A$2:$A$9,0)),"")))</f>
        <v/>
      </c>
      <c r="F262" s="6" t="inlineStr"/>
      <c r="G262" s="6">
        <f>IF(AND($I262="",$L262=""),"",IFERROR(VALUE($I262),0)+IFERROR(VALUE($L262),0))</f>
        <v/>
      </c>
      <c r="H262" s="6">
        <f>IF($D262="Custom","",IFERROR(XLOOKUP($B262&amp;"|"&amp;$D262,ShiftKnowledge!$A$2:$A$9,ShiftKnowledge!$E$2:$E$9,""),IFERROR(INDEX(ShiftKnowledge!$E$2:$E$9,MATCH($B262&amp;"|"&amp;$D262,ShiftKnowledge!$A$2:$A$9,0)),"")))</f>
        <v/>
      </c>
      <c r="I262" s="6">
        <f>IF($D262="Custom","",IFERROR(XLOOKUP($B262&amp;"|"&amp;$D262,ShiftKnowledge!$A$2:$A$9,ShiftKnowledge!$F$2:$F$9,""),IFERROR(INDEX(ShiftKnowledge!$F$2:$F$9,MATCH($B262&amp;"|"&amp;$D262,ShiftKnowledge!$A$2:$A$9,0)),"")))</f>
        <v/>
      </c>
      <c r="J262" s="6">
        <f>IF($D262="Custom","",IFERROR(XLOOKUP($B262&amp;"|"&amp;$D262,ShiftKnowledge!$A$2:$A$9,ShiftKnowledge!$G$2:$G$9,""),IFERROR(INDEX(ShiftKnowledge!$G$2:$G$9,MATCH($B262&amp;"|"&amp;$D262,ShiftKnowledge!$A$2:$A$9,0)),"")))</f>
        <v/>
      </c>
      <c r="K262" s="6">
        <f>IF($D262="Custom","",IFERROR(XLOOKUP($B262&amp;"|"&amp;$D262,ShiftKnowledge!$A$2:$A$9,ShiftKnowledge!$H$2:$H$9,""),IFERROR(INDEX(ShiftKnowledge!$H$2:$H$9,MATCH($B262&amp;"|"&amp;$D262,ShiftKnowledge!$A$2:$A$9,0)),"")))</f>
        <v/>
      </c>
      <c r="L262" s="6">
        <f>IF($D262="Custom","",IFERROR(XLOOKUP($B262&amp;"|"&amp;$D262,ShiftKnowledge!$A$2:$A$9,ShiftKnowledge!$I$2:$I$9,""),IFERROR(INDEX(ShiftKnowledge!$I$2:$I$9,MATCH($B262&amp;"|"&amp;$D262,ShiftKnowledge!$A$2:$A$9,0)),"")))</f>
        <v/>
      </c>
      <c r="M262" s="6" t="inlineStr"/>
    </row>
    <row r="263" ht="20" customHeight="1">
      <c r="A263" s="4" t="inlineStr">
        <is>
          <t>13/11/2025</t>
        </is>
      </c>
      <c r="B263" s="4" t="inlineStr">
        <is>
          <t>Internal Medicine</t>
        </is>
      </c>
      <c r="C263" s="5" t="inlineStr">
        <is>
          <t>Dr. Sumretee</t>
        </is>
      </c>
      <c r="D263" s="4" t="inlineStr"/>
      <c r="E263" s="4">
        <f>IF($D263="Custom","",IFERROR(XLOOKUP($B263&amp;"|"&amp;$D263,ShiftKnowledge!$A$2:$A$9,ShiftKnowledge!$D$2:$D$9,""),IFERROR(INDEX(ShiftKnowledge!$D$2:$D$9,MATCH($B263&amp;"|"&amp;$D263,ShiftKnowledge!$A$2:$A$9,0)),"")))</f>
        <v/>
      </c>
      <c r="F263" s="4" t="inlineStr"/>
      <c r="G263" s="4">
        <f>IF(AND($I263="",$L263=""),"",IFERROR(VALUE($I263),0)+IFERROR(VALUE($L263),0))</f>
        <v/>
      </c>
      <c r="H263" s="4">
        <f>IF($D263="Custom","",IFERROR(XLOOKUP($B263&amp;"|"&amp;$D263,ShiftKnowledge!$A$2:$A$9,ShiftKnowledge!$E$2:$E$9,""),IFERROR(INDEX(ShiftKnowledge!$E$2:$E$9,MATCH($B263&amp;"|"&amp;$D263,ShiftKnowledge!$A$2:$A$9,0)),"")))</f>
        <v/>
      </c>
      <c r="I263" s="4">
        <f>IF($D263="Custom","",IFERROR(XLOOKUP($B263&amp;"|"&amp;$D263,ShiftKnowledge!$A$2:$A$9,ShiftKnowledge!$F$2:$F$9,""),IFERROR(INDEX(ShiftKnowledge!$F$2:$F$9,MATCH($B263&amp;"|"&amp;$D263,ShiftKnowledge!$A$2:$A$9,0)),"")))</f>
        <v/>
      </c>
      <c r="J263" s="4">
        <f>IF($D263="Custom","",IFERROR(XLOOKUP($B263&amp;"|"&amp;$D263,ShiftKnowledge!$A$2:$A$9,ShiftKnowledge!$G$2:$G$9,""),IFERROR(INDEX(ShiftKnowledge!$G$2:$G$9,MATCH($B263&amp;"|"&amp;$D263,ShiftKnowledge!$A$2:$A$9,0)),"")))</f>
        <v/>
      </c>
      <c r="K263" s="4">
        <f>IF($D263="Custom","",IFERROR(XLOOKUP($B263&amp;"|"&amp;$D263,ShiftKnowledge!$A$2:$A$9,ShiftKnowledge!$H$2:$H$9,""),IFERROR(INDEX(ShiftKnowledge!$H$2:$H$9,MATCH($B263&amp;"|"&amp;$D263,ShiftKnowledge!$A$2:$A$9,0)),"")))</f>
        <v/>
      </c>
      <c r="L263" s="4">
        <f>IF($D263="Custom","",IFERROR(XLOOKUP($B263&amp;"|"&amp;$D263,ShiftKnowledge!$A$2:$A$9,ShiftKnowledge!$I$2:$I$9,""),IFERROR(INDEX(ShiftKnowledge!$I$2:$I$9,MATCH($B263&amp;"|"&amp;$D263,ShiftKnowledge!$A$2:$A$9,0)),"")))</f>
        <v/>
      </c>
      <c r="M263" s="4" t="inlineStr"/>
    </row>
    <row r="264" ht="20" customHeight="1">
      <c r="A264" s="6" t="inlineStr">
        <is>
          <t>13/11/2025</t>
        </is>
      </c>
      <c r="B264" s="6" t="inlineStr">
        <is>
          <t>Orthopaedics</t>
        </is>
      </c>
      <c r="C264" s="7" t="inlineStr">
        <is>
          <t>Dr. Vinod Ramlal</t>
        </is>
      </c>
      <c r="D264" s="6" t="inlineStr"/>
      <c r="E264" s="6">
        <f>IF($D264="Custom","",IFERROR(XLOOKUP($B264&amp;"|"&amp;$D264,ShiftKnowledge!$A$2:$A$9,ShiftKnowledge!$D$2:$D$9,""),IFERROR(INDEX(ShiftKnowledge!$D$2:$D$9,MATCH($B264&amp;"|"&amp;$D264,ShiftKnowledge!$A$2:$A$9,0)),"")))</f>
        <v/>
      </c>
      <c r="F264" s="6" t="inlineStr"/>
      <c r="G264" s="6">
        <f>IF(AND($I264="",$L264=""),"",IFERROR(VALUE($I264),0)+IFERROR(VALUE($L264),0))</f>
        <v/>
      </c>
      <c r="H264" s="6">
        <f>IF($D264="Custom","",IFERROR(XLOOKUP($B264&amp;"|"&amp;$D264,ShiftKnowledge!$A$2:$A$9,ShiftKnowledge!$E$2:$E$9,""),IFERROR(INDEX(ShiftKnowledge!$E$2:$E$9,MATCH($B264&amp;"|"&amp;$D264,ShiftKnowledge!$A$2:$A$9,0)),"")))</f>
        <v/>
      </c>
      <c r="I264" s="6">
        <f>IF($D264="Custom","",IFERROR(XLOOKUP($B264&amp;"|"&amp;$D264,ShiftKnowledge!$A$2:$A$9,ShiftKnowledge!$F$2:$F$9,""),IFERROR(INDEX(ShiftKnowledge!$F$2:$F$9,MATCH($B264&amp;"|"&amp;$D264,ShiftKnowledge!$A$2:$A$9,0)),"")))</f>
        <v/>
      </c>
      <c r="J264" s="6">
        <f>IF($D264="Custom","",IFERROR(XLOOKUP($B264&amp;"|"&amp;$D264,ShiftKnowledge!$A$2:$A$9,ShiftKnowledge!$G$2:$G$9,""),IFERROR(INDEX(ShiftKnowledge!$G$2:$G$9,MATCH($B264&amp;"|"&amp;$D264,ShiftKnowledge!$A$2:$A$9,0)),"")))</f>
        <v/>
      </c>
      <c r="K264" s="6">
        <f>IF($D264="Custom","",IFERROR(XLOOKUP($B264&amp;"|"&amp;$D264,ShiftKnowledge!$A$2:$A$9,ShiftKnowledge!$H$2:$H$9,""),IFERROR(INDEX(ShiftKnowledge!$H$2:$H$9,MATCH($B264&amp;"|"&amp;$D264,ShiftKnowledge!$A$2:$A$9,0)),"")))</f>
        <v/>
      </c>
      <c r="L264" s="6">
        <f>IF($D264="Custom","",IFERROR(XLOOKUP($B264&amp;"|"&amp;$D264,ShiftKnowledge!$A$2:$A$9,ShiftKnowledge!$I$2:$I$9,""),IFERROR(INDEX(ShiftKnowledge!$I$2:$I$9,MATCH($B264&amp;"|"&amp;$D264,ShiftKnowledge!$A$2:$A$9,0)),"")))</f>
        <v/>
      </c>
      <c r="M264" s="6" t="inlineStr"/>
    </row>
    <row r="265" ht="20" customHeight="1">
      <c r="A265" s="4" t="inlineStr">
        <is>
          <t>13/11/2025</t>
        </is>
      </c>
      <c r="B265" s="4" t="inlineStr">
        <is>
          <t>Paediatrics</t>
        </is>
      </c>
      <c r="C265" s="5" t="inlineStr">
        <is>
          <t>Dr. Yi Nwe Soe</t>
        </is>
      </c>
      <c r="D265" s="4" t="inlineStr"/>
      <c r="E265" s="4">
        <f>IF($D265="Custom","",IFERROR(XLOOKUP($B265&amp;"|"&amp;$D265,ShiftKnowledge!$A$2:$A$9,ShiftKnowledge!$D$2:$D$9,""),IFERROR(INDEX(ShiftKnowledge!$D$2:$D$9,MATCH($B265&amp;"|"&amp;$D265,ShiftKnowledge!$A$2:$A$9,0)),"")))</f>
        <v/>
      </c>
      <c r="F265" s="4" t="inlineStr"/>
      <c r="G265" s="4">
        <f>IF(AND($I265="",$L265=""),"",IFERROR(VALUE($I265),0)+IFERROR(VALUE($L265),0))</f>
        <v/>
      </c>
      <c r="H265" s="4">
        <f>IF($D265="Custom","",IFERROR(XLOOKUP($B265&amp;"|"&amp;$D265,ShiftKnowledge!$A$2:$A$9,ShiftKnowledge!$E$2:$E$9,""),IFERROR(INDEX(ShiftKnowledge!$E$2:$E$9,MATCH($B265&amp;"|"&amp;$D265,ShiftKnowledge!$A$2:$A$9,0)),"")))</f>
        <v/>
      </c>
      <c r="I265" s="4">
        <f>IF($D265="Custom","",IFERROR(XLOOKUP($B265&amp;"|"&amp;$D265,ShiftKnowledge!$A$2:$A$9,ShiftKnowledge!$F$2:$F$9,""),IFERROR(INDEX(ShiftKnowledge!$F$2:$F$9,MATCH($B265&amp;"|"&amp;$D265,ShiftKnowledge!$A$2:$A$9,0)),"")))</f>
        <v/>
      </c>
      <c r="J265" s="4">
        <f>IF($D265="Custom","",IFERROR(XLOOKUP($B265&amp;"|"&amp;$D265,ShiftKnowledge!$A$2:$A$9,ShiftKnowledge!$G$2:$G$9,""),IFERROR(INDEX(ShiftKnowledge!$G$2:$G$9,MATCH($B265&amp;"|"&amp;$D265,ShiftKnowledge!$A$2:$A$9,0)),"")))</f>
        <v/>
      </c>
      <c r="K265" s="4">
        <f>IF($D265="Custom","",IFERROR(XLOOKUP($B265&amp;"|"&amp;$D265,ShiftKnowledge!$A$2:$A$9,ShiftKnowledge!$H$2:$H$9,""),IFERROR(INDEX(ShiftKnowledge!$H$2:$H$9,MATCH($B265&amp;"|"&amp;$D265,ShiftKnowledge!$A$2:$A$9,0)),"")))</f>
        <v/>
      </c>
      <c r="L265" s="4">
        <f>IF($D265="Custom","",IFERROR(XLOOKUP($B265&amp;"|"&amp;$D265,ShiftKnowledge!$A$2:$A$9,ShiftKnowledge!$I$2:$I$9,""),IFERROR(INDEX(ShiftKnowledge!$I$2:$I$9,MATCH($B265&amp;"|"&amp;$D265,ShiftKnowledge!$A$2:$A$9,0)),"")))</f>
        <v/>
      </c>
      <c r="M265" s="4" t="inlineStr"/>
    </row>
    <row r="266" ht="20" customHeight="1">
      <c r="A266" s="6" t="inlineStr">
        <is>
          <t>13/11/2025</t>
        </is>
      </c>
      <c r="B266" s="6" t="inlineStr">
        <is>
          <t>Gynaecology</t>
        </is>
      </c>
      <c r="C266" s="7" t="inlineStr">
        <is>
          <t>Dr. Zarina Kabilova</t>
        </is>
      </c>
      <c r="D266" s="6" t="inlineStr"/>
      <c r="E266" s="6">
        <f>IF($D266="Custom","",IFERROR(XLOOKUP($B266&amp;"|"&amp;$D266,ShiftKnowledge!$A$2:$A$9,ShiftKnowledge!$D$2:$D$9,""),IFERROR(INDEX(ShiftKnowledge!$D$2:$D$9,MATCH($B266&amp;"|"&amp;$D266,ShiftKnowledge!$A$2:$A$9,0)),"")))</f>
        <v/>
      </c>
      <c r="F266" s="6" t="inlineStr"/>
      <c r="G266" s="6">
        <f>IF(AND($I266="",$L266=""),"",IFERROR(VALUE($I266),0)+IFERROR(VALUE($L266),0))</f>
        <v/>
      </c>
      <c r="H266" s="6">
        <f>IF($D266="Custom","",IFERROR(XLOOKUP($B266&amp;"|"&amp;$D266,ShiftKnowledge!$A$2:$A$9,ShiftKnowledge!$E$2:$E$9,""),IFERROR(INDEX(ShiftKnowledge!$E$2:$E$9,MATCH($B266&amp;"|"&amp;$D266,ShiftKnowledge!$A$2:$A$9,0)),"")))</f>
        <v/>
      </c>
      <c r="I266" s="6">
        <f>IF($D266="Custom","",IFERROR(XLOOKUP($B266&amp;"|"&amp;$D266,ShiftKnowledge!$A$2:$A$9,ShiftKnowledge!$F$2:$F$9,""),IFERROR(INDEX(ShiftKnowledge!$F$2:$F$9,MATCH($B266&amp;"|"&amp;$D266,ShiftKnowledge!$A$2:$A$9,0)),"")))</f>
        <v/>
      </c>
      <c r="J266" s="6">
        <f>IF($D266="Custom","",IFERROR(XLOOKUP($B266&amp;"|"&amp;$D266,ShiftKnowledge!$A$2:$A$9,ShiftKnowledge!$G$2:$G$9,""),IFERROR(INDEX(ShiftKnowledge!$G$2:$G$9,MATCH($B266&amp;"|"&amp;$D266,ShiftKnowledge!$A$2:$A$9,0)),"")))</f>
        <v/>
      </c>
      <c r="K266" s="6">
        <f>IF($D266="Custom","",IFERROR(XLOOKUP($B266&amp;"|"&amp;$D266,ShiftKnowledge!$A$2:$A$9,ShiftKnowledge!$H$2:$H$9,""),IFERROR(INDEX(ShiftKnowledge!$H$2:$H$9,MATCH($B266&amp;"|"&amp;$D266,ShiftKnowledge!$A$2:$A$9,0)),"")))</f>
        <v/>
      </c>
      <c r="L266" s="6">
        <f>IF($D266="Custom","",IFERROR(XLOOKUP($B266&amp;"|"&amp;$D266,ShiftKnowledge!$A$2:$A$9,ShiftKnowledge!$I$2:$I$9,""),IFERROR(INDEX(ShiftKnowledge!$I$2:$I$9,MATCH($B266&amp;"|"&amp;$D266,ShiftKnowledge!$A$2:$A$9,0)),"")))</f>
        <v/>
      </c>
      <c r="M266" s="6" t="inlineStr"/>
    </row>
    <row r="267" ht="20" customHeight="1">
      <c r="A267" s="4" t="inlineStr">
        <is>
          <t>15/11/2025</t>
        </is>
      </c>
      <c r="B267" s="4" t="inlineStr">
        <is>
          <t>Orthopaedics</t>
        </is>
      </c>
      <c r="C267" s="5" t="inlineStr">
        <is>
          <t>Dr. Ahmed Azim Abdul Shakoor</t>
        </is>
      </c>
      <c r="D267" s="4" t="inlineStr"/>
      <c r="E267" s="4">
        <f>IF($D267="Custom","",IFERROR(XLOOKUP($B267&amp;"|"&amp;$D267,ShiftKnowledge!$A$2:$A$9,ShiftKnowledge!$D$2:$D$9,""),IFERROR(INDEX(ShiftKnowledge!$D$2:$D$9,MATCH($B267&amp;"|"&amp;$D267,ShiftKnowledge!$A$2:$A$9,0)),"")))</f>
        <v/>
      </c>
      <c r="F267" s="4" t="inlineStr"/>
      <c r="G267" s="4">
        <f>IF(AND($I267="",$L267=""),"",IFERROR(VALUE($I267),0)+IFERROR(VALUE($L267),0))</f>
        <v/>
      </c>
      <c r="H267" s="4">
        <f>IF($D267="Custom","",IFERROR(XLOOKUP($B267&amp;"|"&amp;$D267,ShiftKnowledge!$A$2:$A$9,ShiftKnowledge!$E$2:$E$9,""),IFERROR(INDEX(ShiftKnowledge!$E$2:$E$9,MATCH($B267&amp;"|"&amp;$D267,ShiftKnowledge!$A$2:$A$9,0)),"")))</f>
        <v/>
      </c>
      <c r="I267" s="4">
        <f>IF($D267="Custom","",IFERROR(XLOOKUP($B267&amp;"|"&amp;$D267,ShiftKnowledge!$A$2:$A$9,ShiftKnowledge!$F$2:$F$9,""),IFERROR(INDEX(ShiftKnowledge!$F$2:$F$9,MATCH($B267&amp;"|"&amp;$D267,ShiftKnowledge!$A$2:$A$9,0)),"")))</f>
        <v/>
      </c>
      <c r="J267" s="4">
        <f>IF($D267="Custom","",IFERROR(XLOOKUP($B267&amp;"|"&amp;$D267,ShiftKnowledge!$A$2:$A$9,ShiftKnowledge!$G$2:$G$9,""),IFERROR(INDEX(ShiftKnowledge!$G$2:$G$9,MATCH($B267&amp;"|"&amp;$D267,ShiftKnowledge!$A$2:$A$9,0)),"")))</f>
        <v/>
      </c>
      <c r="K267" s="4">
        <f>IF($D267="Custom","",IFERROR(XLOOKUP($B267&amp;"|"&amp;$D267,ShiftKnowledge!$A$2:$A$9,ShiftKnowledge!$H$2:$H$9,""),IFERROR(INDEX(ShiftKnowledge!$H$2:$H$9,MATCH($B267&amp;"|"&amp;$D267,ShiftKnowledge!$A$2:$A$9,0)),"")))</f>
        <v/>
      </c>
      <c r="L267" s="4">
        <f>IF($D267="Custom","",IFERROR(XLOOKUP($B267&amp;"|"&amp;$D267,ShiftKnowledge!$A$2:$A$9,ShiftKnowledge!$I$2:$I$9,""),IFERROR(INDEX(ShiftKnowledge!$I$2:$I$9,MATCH($B267&amp;"|"&amp;$D267,ShiftKnowledge!$A$2:$A$9,0)),"")))</f>
        <v/>
      </c>
      <c r="M267" s="4" t="inlineStr"/>
    </row>
    <row r="268" ht="20" customHeight="1">
      <c r="A268" s="6" t="inlineStr">
        <is>
          <t>15/11/2025</t>
        </is>
      </c>
      <c r="B268" s="6" t="inlineStr">
        <is>
          <t>Dermatology</t>
        </is>
      </c>
      <c r="C268" s="7" t="inlineStr">
        <is>
          <t>Dr. Ahmed Fekry Bahyeldin Khalafallah</t>
        </is>
      </c>
      <c r="D268" s="6" t="inlineStr"/>
      <c r="E268" s="6">
        <f>IF($D268="Custom","",IFERROR(XLOOKUP($B268&amp;"|"&amp;$D268,ShiftKnowledge!$A$2:$A$9,ShiftKnowledge!$D$2:$D$9,""),IFERROR(INDEX(ShiftKnowledge!$D$2:$D$9,MATCH($B268&amp;"|"&amp;$D268,ShiftKnowledge!$A$2:$A$9,0)),"")))</f>
        <v/>
      </c>
      <c r="F268" s="6" t="inlineStr"/>
      <c r="G268" s="6">
        <f>IF(AND($I268="",$L268=""),"",IFERROR(VALUE($I268),0)+IFERROR(VALUE($L268),0))</f>
        <v/>
      </c>
      <c r="H268" s="6">
        <f>IF($D268="Custom","",IFERROR(XLOOKUP($B268&amp;"|"&amp;$D268,ShiftKnowledge!$A$2:$A$9,ShiftKnowledge!$E$2:$E$9,""),IFERROR(INDEX(ShiftKnowledge!$E$2:$E$9,MATCH($B268&amp;"|"&amp;$D268,ShiftKnowledge!$A$2:$A$9,0)),"")))</f>
        <v/>
      </c>
      <c r="I268" s="6">
        <f>IF($D268="Custom","",IFERROR(XLOOKUP($B268&amp;"|"&amp;$D268,ShiftKnowledge!$A$2:$A$9,ShiftKnowledge!$F$2:$F$9,""),IFERROR(INDEX(ShiftKnowledge!$F$2:$F$9,MATCH($B268&amp;"|"&amp;$D268,ShiftKnowledge!$A$2:$A$9,0)),"")))</f>
        <v/>
      </c>
      <c r="J268" s="6">
        <f>IF($D268="Custom","",IFERROR(XLOOKUP($B268&amp;"|"&amp;$D268,ShiftKnowledge!$A$2:$A$9,ShiftKnowledge!$G$2:$G$9,""),IFERROR(INDEX(ShiftKnowledge!$G$2:$G$9,MATCH($B268&amp;"|"&amp;$D268,ShiftKnowledge!$A$2:$A$9,0)),"")))</f>
        <v/>
      </c>
      <c r="K268" s="6">
        <f>IF($D268="Custom","",IFERROR(XLOOKUP($B268&amp;"|"&amp;$D268,ShiftKnowledge!$A$2:$A$9,ShiftKnowledge!$H$2:$H$9,""),IFERROR(INDEX(ShiftKnowledge!$H$2:$H$9,MATCH($B268&amp;"|"&amp;$D268,ShiftKnowledge!$A$2:$A$9,0)),"")))</f>
        <v/>
      </c>
      <c r="L268" s="6">
        <f>IF($D268="Custom","",IFERROR(XLOOKUP($B268&amp;"|"&amp;$D268,ShiftKnowledge!$A$2:$A$9,ShiftKnowledge!$I$2:$I$9,""),IFERROR(INDEX(ShiftKnowledge!$I$2:$I$9,MATCH($B268&amp;"|"&amp;$D268,ShiftKnowledge!$A$2:$A$9,0)),"")))</f>
        <v/>
      </c>
      <c r="M268" s="6" t="inlineStr"/>
    </row>
    <row r="269" ht="20" customHeight="1">
      <c r="A269" s="4" t="inlineStr">
        <is>
          <t>15/11/2025</t>
        </is>
      </c>
      <c r="B269" s="4" t="inlineStr">
        <is>
          <t>Pulmonology</t>
        </is>
      </c>
      <c r="C269" s="5" t="inlineStr">
        <is>
          <t>Dr. Ahmed Gamal Youssef Meselhi</t>
        </is>
      </c>
      <c r="D269" s="4" t="inlineStr"/>
      <c r="E269" s="4">
        <f>IF($D269="Custom","",IFERROR(XLOOKUP($B269&amp;"|"&amp;$D269,ShiftKnowledge!$A$2:$A$9,ShiftKnowledge!$D$2:$D$9,""),IFERROR(INDEX(ShiftKnowledge!$D$2:$D$9,MATCH($B269&amp;"|"&amp;$D269,ShiftKnowledge!$A$2:$A$9,0)),"")))</f>
        <v/>
      </c>
      <c r="F269" s="4" t="inlineStr"/>
      <c r="G269" s="4">
        <f>IF(AND($I269="",$L269=""),"",IFERROR(VALUE($I269),0)+IFERROR(VALUE($L269),0))</f>
        <v/>
      </c>
      <c r="H269" s="4">
        <f>IF($D269="Custom","",IFERROR(XLOOKUP($B269&amp;"|"&amp;$D269,ShiftKnowledge!$A$2:$A$9,ShiftKnowledge!$E$2:$E$9,""),IFERROR(INDEX(ShiftKnowledge!$E$2:$E$9,MATCH($B269&amp;"|"&amp;$D269,ShiftKnowledge!$A$2:$A$9,0)),"")))</f>
        <v/>
      </c>
      <c r="I269" s="4">
        <f>IF($D269="Custom","",IFERROR(XLOOKUP($B269&amp;"|"&amp;$D269,ShiftKnowledge!$A$2:$A$9,ShiftKnowledge!$F$2:$F$9,""),IFERROR(INDEX(ShiftKnowledge!$F$2:$F$9,MATCH($B269&amp;"|"&amp;$D269,ShiftKnowledge!$A$2:$A$9,0)),"")))</f>
        <v/>
      </c>
      <c r="J269" s="4">
        <f>IF($D269="Custom","",IFERROR(XLOOKUP($B269&amp;"|"&amp;$D269,ShiftKnowledge!$A$2:$A$9,ShiftKnowledge!$G$2:$G$9,""),IFERROR(INDEX(ShiftKnowledge!$G$2:$G$9,MATCH($B269&amp;"|"&amp;$D269,ShiftKnowledge!$A$2:$A$9,0)),"")))</f>
        <v/>
      </c>
      <c r="K269" s="4">
        <f>IF($D269="Custom","",IFERROR(XLOOKUP($B269&amp;"|"&amp;$D269,ShiftKnowledge!$A$2:$A$9,ShiftKnowledge!$H$2:$H$9,""),IFERROR(INDEX(ShiftKnowledge!$H$2:$H$9,MATCH($B269&amp;"|"&amp;$D269,ShiftKnowledge!$A$2:$A$9,0)),"")))</f>
        <v/>
      </c>
      <c r="L269" s="4">
        <f>IF($D269="Custom","",IFERROR(XLOOKUP($B269&amp;"|"&amp;$D269,ShiftKnowledge!$A$2:$A$9,ShiftKnowledge!$I$2:$I$9,""),IFERROR(INDEX(ShiftKnowledge!$I$2:$I$9,MATCH($B269&amp;"|"&amp;$D269,ShiftKnowledge!$A$2:$A$9,0)),"")))</f>
        <v/>
      </c>
      <c r="M269" s="4" t="inlineStr"/>
    </row>
    <row r="270" ht="20" customHeight="1">
      <c r="A270" s="6" t="inlineStr">
        <is>
          <t>15/11/2025</t>
        </is>
      </c>
      <c r="B270" s="6" t="inlineStr">
        <is>
          <t>Dental</t>
        </is>
      </c>
      <c r="C270" s="7" t="inlineStr">
        <is>
          <t>Dr. Aishath Suha Ali</t>
        </is>
      </c>
      <c r="D270" s="6" t="inlineStr"/>
      <c r="E270" s="6">
        <f>IF($D270="Custom","",IFERROR(XLOOKUP($B270&amp;"|"&amp;$D270,ShiftKnowledge!$A$2:$A$9,ShiftKnowledge!$D$2:$D$9,""),IFERROR(INDEX(ShiftKnowledge!$D$2:$D$9,MATCH($B270&amp;"|"&amp;$D270,ShiftKnowledge!$A$2:$A$9,0)),"")))</f>
        <v/>
      </c>
      <c r="F270" s="6" t="inlineStr"/>
      <c r="G270" s="6">
        <f>IF(AND($I270="",$L270=""),"",IFERROR(VALUE($I270),0)+IFERROR(VALUE($L270),0))</f>
        <v/>
      </c>
      <c r="H270" s="6">
        <f>IF($D270="Custom","",IFERROR(XLOOKUP($B270&amp;"|"&amp;$D270,ShiftKnowledge!$A$2:$A$9,ShiftKnowledge!$E$2:$E$9,""),IFERROR(INDEX(ShiftKnowledge!$E$2:$E$9,MATCH($B270&amp;"|"&amp;$D270,ShiftKnowledge!$A$2:$A$9,0)),"")))</f>
        <v/>
      </c>
      <c r="I270" s="6">
        <f>IF($D270="Custom","",IFERROR(XLOOKUP($B270&amp;"|"&amp;$D270,ShiftKnowledge!$A$2:$A$9,ShiftKnowledge!$F$2:$F$9,""),IFERROR(INDEX(ShiftKnowledge!$F$2:$F$9,MATCH($B270&amp;"|"&amp;$D270,ShiftKnowledge!$A$2:$A$9,0)),"")))</f>
        <v/>
      </c>
      <c r="J270" s="6">
        <f>IF($D270="Custom","",IFERROR(XLOOKUP($B270&amp;"|"&amp;$D270,ShiftKnowledge!$A$2:$A$9,ShiftKnowledge!$G$2:$G$9,""),IFERROR(INDEX(ShiftKnowledge!$G$2:$G$9,MATCH($B270&amp;"|"&amp;$D270,ShiftKnowledge!$A$2:$A$9,0)),"")))</f>
        <v/>
      </c>
      <c r="K270" s="6">
        <f>IF($D270="Custom","",IFERROR(XLOOKUP($B270&amp;"|"&amp;$D270,ShiftKnowledge!$A$2:$A$9,ShiftKnowledge!$H$2:$H$9,""),IFERROR(INDEX(ShiftKnowledge!$H$2:$H$9,MATCH($B270&amp;"|"&amp;$D270,ShiftKnowledge!$A$2:$A$9,0)),"")))</f>
        <v/>
      </c>
      <c r="L270" s="6">
        <f>IF($D270="Custom","",IFERROR(XLOOKUP($B270&amp;"|"&amp;$D270,ShiftKnowledge!$A$2:$A$9,ShiftKnowledge!$I$2:$I$9,""),IFERROR(INDEX(ShiftKnowledge!$I$2:$I$9,MATCH($B270&amp;"|"&amp;$D270,ShiftKnowledge!$A$2:$A$9,0)),"")))</f>
        <v/>
      </c>
      <c r="M270" s="6" t="inlineStr"/>
    </row>
    <row r="271" ht="20" customHeight="1">
      <c r="A271" s="4" t="inlineStr">
        <is>
          <t>15/11/2025</t>
        </is>
      </c>
      <c r="B271" s="4" t="inlineStr">
        <is>
          <t>Paediatrics</t>
        </is>
      </c>
      <c r="C271" s="5" t="inlineStr">
        <is>
          <t>Dr. Alaa Adel Ahmed Sayed Ahmed Sobeih Elamawey</t>
        </is>
      </c>
      <c r="D271" s="4" t="inlineStr"/>
      <c r="E271" s="4">
        <f>IF($D271="Custom","",IFERROR(XLOOKUP($B271&amp;"|"&amp;$D271,ShiftKnowledge!$A$2:$A$9,ShiftKnowledge!$D$2:$D$9,""),IFERROR(INDEX(ShiftKnowledge!$D$2:$D$9,MATCH($B271&amp;"|"&amp;$D271,ShiftKnowledge!$A$2:$A$9,0)),"")))</f>
        <v/>
      </c>
      <c r="F271" s="4" t="inlineStr"/>
      <c r="G271" s="4">
        <f>IF(AND($I271="",$L271=""),"",IFERROR(VALUE($I271),0)+IFERROR(VALUE($L271),0))</f>
        <v/>
      </c>
      <c r="H271" s="4">
        <f>IF($D271="Custom","",IFERROR(XLOOKUP($B271&amp;"|"&amp;$D271,ShiftKnowledge!$A$2:$A$9,ShiftKnowledge!$E$2:$E$9,""),IFERROR(INDEX(ShiftKnowledge!$E$2:$E$9,MATCH($B271&amp;"|"&amp;$D271,ShiftKnowledge!$A$2:$A$9,0)),"")))</f>
        <v/>
      </c>
      <c r="I271" s="4">
        <f>IF($D271="Custom","",IFERROR(XLOOKUP($B271&amp;"|"&amp;$D271,ShiftKnowledge!$A$2:$A$9,ShiftKnowledge!$F$2:$F$9,""),IFERROR(INDEX(ShiftKnowledge!$F$2:$F$9,MATCH($B271&amp;"|"&amp;$D271,ShiftKnowledge!$A$2:$A$9,0)),"")))</f>
        <v/>
      </c>
      <c r="J271" s="4">
        <f>IF($D271="Custom","",IFERROR(XLOOKUP($B271&amp;"|"&amp;$D271,ShiftKnowledge!$A$2:$A$9,ShiftKnowledge!$G$2:$G$9,""),IFERROR(INDEX(ShiftKnowledge!$G$2:$G$9,MATCH($B271&amp;"|"&amp;$D271,ShiftKnowledge!$A$2:$A$9,0)),"")))</f>
        <v/>
      </c>
      <c r="K271" s="4">
        <f>IF($D271="Custom","",IFERROR(XLOOKUP($B271&amp;"|"&amp;$D271,ShiftKnowledge!$A$2:$A$9,ShiftKnowledge!$H$2:$H$9,""),IFERROR(INDEX(ShiftKnowledge!$H$2:$H$9,MATCH($B271&amp;"|"&amp;$D271,ShiftKnowledge!$A$2:$A$9,0)),"")))</f>
        <v/>
      </c>
      <c r="L271" s="4">
        <f>IF($D271="Custom","",IFERROR(XLOOKUP($B271&amp;"|"&amp;$D271,ShiftKnowledge!$A$2:$A$9,ShiftKnowledge!$I$2:$I$9,""),IFERROR(INDEX(ShiftKnowledge!$I$2:$I$9,MATCH($B271&amp;"|"&amp;$D271,ShiftKnowledge!$A$2:$A$9,0)),"")))</f>
        <v/>
      </c>
      <c r="M271" s="4" t="inlineStr"/>
    </row>
    <row r="272" ht="20" customHeight="1">
      <c r="A272" s="6" t="inlineStr">
        <is>
          <t>15/11/2025</t>
        </is>
      </c>
      <c r="B272" s="6" t="inlineStr">
        <is>
          <t>Paediatrics</t>
        </is>
      </c>
      <c r="C272" s="7" t="inlineStr">
        <is>
          <t>Dr. Alisha Joshi</t>
        </is>
      </c>
      <c r="D272" s="6" t="inlineStr"/>
      <c r="E272" s="6">
        <f>IF($D272="Custom","",IFERROR(XLOOKUP($B272&amp;"|"&amp;$D272,ShiftKnowledge!$A$2:$A$9,ShiftKnowledge!$D$2:$D$9,""),IFERROR(INDEX(ShiftKnowledge!$D$2:$D$9,MATCH($B272&amp;"|"&amp;$D272,ShiftKnowledge!$A$2:$A$9,0)),"")))</f>
        <v/>
      </c>
      <c r="F272" s="6" t="inlineStr"/>
      <c r="G272" s="6">
        <f>IF(AND($I272="",$L272=""),"",IFERROR(VALUE($I272),0)+IFERROR(VALUE($L272),0))</f>
        <v/>
      </c>
      <c r="H272" s="6">
        <f>IF($D272="Custom","",IFERROR(XLOOKUP($B272&amp;"|"&amp;$D272,ShiftKnowledge!$A$2:$A$9,ShiftKnowledge!$E$2:$E$9,""),IFERROR(INDEX(ShiftKnowledge!$E$2:$E$9,MATCH($B272&amp;"|"&amp;$D272,ShiftKnowledge!$A$2:$A$9,0)),"")))</f>
        <v/>
      </c>
      <c r="I272" s="6">
        <f>IF($D272="Custom","",IFERROR(XLOOKUP($B272&amp;"|"&amp;$D272,ShiftKnowledge!$A$2:$A$9,ShiftKnowledge!$F$2:$F$9,""),IFERROR(INDEX(ShiftKnowledge!$F$2:$F$9,MATCH($B272&amp;"|"&amp;$D272,ShiftKnowledge!$A$2:$A$9,0)),"")))</f>
        <v/>
      </c>
      <c r="J272" s="6">
        <f>IF($D272="Custom","",IFERROR(XLOOKUP($B272&amp;"|"&amp;$D272,ShiftKnowledge!$A$2:$A$9,ShiftKnowledge!$G$2:$G$9,""),IFERROR(INDEX(ShiftKnowledge!$G$2:$G$9,MATCH($B272&amp;"|"&amp;$D272,ShiftKnowledge!$A$2:$A$9,0)),"")))</f>
        <v/>
      </c>
      <c r="K272" s="6">
        <f>IF($D272="Custom","",IFERROR(XLOOKUP($B272&amp;"|"&amp;$D272,ShiftKnowledge!$A$2:$A$9,ShiftKnowledge!$H$2:$H$9,""),IFERROR(INDEX(ShiftKnowledge!$H$2:$H$9,MATCH($B272&amp;"|"&amp;$D272,ShiftKnowledge!$A$2:$A$9,0)),"")))</f>
        <v/>
      </c>
      <c r="L272" s="6">
        <f>IF($D272="Custom","",IFERROR(XLOOKUP($B272&amp;"|"&amp;$D272,ShiftKnowledge!$A$2:$A$9,ShiftKnowledge!$I$2:$I$9,""),IFERROR(INDEX(ShiftKnowledge!$I$2:$I$9,MATCH($B272&amp;"|"&amp;$D272,ShiftKnowledge!$A$2:$A$9,0)),"")))</f>
        <v/>
      </c>
      <c r="M272" s="6" t="inlineStr"/>
    </row>
    <row r="273" ht="20" customHeight="1">
      <c r="A273" s="4" t="inlineStr">
        <is>
          <t>15/11/2025</t>
        </is>
      </c>
      <c r="B273" s="4" t="inlineStr">
        <is>
          <t>Dental</t>
        </is>
      </c>
      <c r="C273" s="5" t="inlineStr">
        <is>
          <t>Dr. Aminath Dhunyana</t>
        </is>
      </c>
      <c r="D273" s="4" t="inlineStr"/>
      <c r="E273" s="4">
        <f>IF($D273="Custom","",IFERROR(XLOOKUP($B273&amp;"|"&amp;$D273,ShiftKnowledge!$A$2:$A$9,ShiftKnowledge!$D$2:$D$9,""),IFERROR(INDEX(ShiftKnowledge!$D$2:$D$9,MATCH($B273&amp;"|"&amp;$D273,ShiftKnowledge!$A$2:$A$9,0)),"")))</f>
        <v/>
      </c>
      <c r="F273" s="4" t="inlineStr"/>
      <c r="G273" s="4">
        <f>IF(AND($I273="",$L273=""),"",IFERROR(VALUE($I273),0)+IFERROR(VALUE($L273),0))</f>
        <v/>
      </c>
      <c r="H273" s="4">
        <f>IF($D273="Custom","",IFERROR(XLOOKUP($B273&amp;"|"&amp;$D273,ShiftKnowledge!$A$2:$A$9,ShiftKnowledge!$E$2:$E$9,""),IFERROR(INDEX(ShiftKnowledge!$E$2:$E$9,MATCH($B273&amp;"|"&amp;$D273,ShiftKnowledge!$A$2:$A$9,0)),"")))</f>
        <v/>
      </c>
      <c r="I273" s="4">
        <f>IF($D273="Custom","",IFERROR(XLOOKUP($B273&amp;"|"&amp;$D273,ShiftKnowledge!$A$2:$A$9,ShiftKnowledge!$F$2:$F$9,""),IFERROR(INDEX(ShiftKnowledge!$F$2:$F$9,MATCH($B273&amp;"|"&amp;$D273,ShiftKnowledge!$A$2:$A$9,0)),"")))</f>
        <v/>
      </c>
      <c r="J273" s="4">
        <f>IF($D273="Custom","",IFERROR(XLOOKUP($B273&amp;"|"&amp;$D273,ShiftKnowledge!$A$2:$A$9,ShiftKnowledge!$G$2:$G$9,""),IFERROR(INDEX(ShiftKnowledge!$G$2:$G$9,MATCH($B273&amp;"|"&amp;$D273,ShiftKnowledge!$A$2:$A$9,0)),"")))</f>
        <v/>
      </c>
      <c r="K273" s="4">
        <f>IF($D273="Custom","",IFERROR(XLOOKUP($B273&amp;"|"&amp;$D273,ShiftKnowledge!$A$2:$A$9,ShiftKnowledge!$H$2:$H$9,""),IFERROR(INDEX(ShiftKnowledge!$H$2:$H$9,MATCH($B273&amp;"|"&amp;$D273,ShiftKnowledge!$A$2:$A$9,0)),"")))</f>
        <v/>
      </c>
      <c r="L273" s="4">
        <f>IF($D273="Custom","",IFERROR(XLOOKUP($B273&amp;"|"&amp;$D273,ShiftKnowledge!$A$2:$A$9,ShiftKnowledge!$I$2:$I$9,""),IFERROR(INDEX(ShiftKnowledge!$I$2:$I$9,MATCH($B273&amp;"|"&amp;$D273,ShiftKnowledge!$A$2:$A$9,0)),"")))</f>
        <v/>
      </c>
      <c r="M273" s="4" t="inlineStr"/>
    </row>
    <row r="274" ht="20" customHeight="1">
      <c r="A274" s="6" t="inlineStr">
        <is>
          <t>15/11/2025</t>
        </is>
      </c>
      <c r="B274" s="6" t="inlineStr">
        <is>
          <t>Gynaecology</t>
        </is>
      </c>
      <c r="C274" s="7" t="inlineStr">
        <is>
          <t>Dr. Aminath Juhaina</t>
        </is>
      </c>
      <c r="D274" s="6" t="inlineStr"/>
      <c r="E274" s="6">
        <f>IF($D274="Custom","",IFERROR(XLOOKUP($B274&amp;"|"&amp;$D274,ShiftKnowledge!$A$2:$A$9,ShiftKnowledge!$D$2:$D$9,""),IFERROR(INDEX(ShiftKnowledge!$D$2:$D$9,MATCH($B274&amp;"|"&amp;$D274,ShiftKnowledge!$A$2:$A$9,0)),"")))</f>
        <v/>
      </c>
      <c r="F274" s="6" t="inlineStr"/>
      <c r="G274" s="6">
        <f>IF(AND($I274="",$L274=""),"",IFERROR(VALUE($I274),0)+IFERROR(VALUE($L274),0))</f>
        <v/>
      </c>
      <c r="H274" s="6">
        <f>IF($D274="Custom","",IFERROR(XLOOKUP($B274&amp;"|"&amp;$D274,ShiftKnowledge!$A$2:$A$9,ShiftKnowledge!$E$2:$E$9,""),IFERROR(INDEX(ShiftKnowledge!$E$2:$E$9,MATCH($B274&amp;"|"&amp;$D274,ShiftKnowledge!$A$2:$A$9,0)),"")))</f>
        <v/>
      </c>
      <c r="I274" s="6">
        <f>IF($D274="Custom","",IFERROR(XLOOKUP($B274&amp;"|"&amp;$D274,ShiftKnowledge!$A$2:$A$9,ShiftKnowledge!$F$2:$F$9,""),IFERROR(INDEX(ShiftKnowledge!$F$2:$F$9,MATCH($B274&amp;"|"&amp;$D274,ShiftKnowledge!$A$2:$A$9,0)),"")))</f>
        <v/>
      </c>
      <c r="J274" s="6">
        <f>IF($D274="Custom","",IFERROR(XLOOKUP($B274&amp;"|"&amp;$D274,ShiftKnowledge!$A$2:$A$9,ShiftKnowledge!$G$2:$G$9,""),IFERROR(INDEX(ShiftKnowledge!$G$2:$G$9,MATCH($B274&amp;"|"&amp;$D274,ShiftKnowledge!$A$2:$A$9,0)),"")))</f>
        <v/>
      </c>
      <c r="K274" s="6">
        <f>IF($D274="Custom","",IFERROR(XLOOKUP($B274&amp;"|"&amp;$D274,ShiftKnowledge!$A$2:$A$9,ShiftKnowledge!$H$2:$H$9,""),IFERROR(INDEX(ShiftKnowledge!$H$2:$H$9,MATCH($B274&amp;"|"&amp;$D274,ShiftKnowledge!$A$2:$A$9,0)),"")))</f>
        <v/>
      </c>
      <c r="L274" s="6">
        <f>IF($D274="Custom","",IFERROR(XLOOKUP($B274&amp;"|"&amp;$D274,ShiftKnowledge!$A$2:$A$9,ShiftKnowledge!$I$2:$I$9,""),IFERROR(INDEX(ShiftKnowledge!$I$2:$I$9,MATCH($B274&amp;"|"&amp;$D274,ShiftKnowledge!$A$2:$A$9,0)),"")))</f>
        <v/>
      </c>
      <c r="M274" s="6" t="inlineStr"/>
    </row>
    <row r="275" ht="20" customHeight="1">
      <c r="A275" s="4" t="inlineStr">
        <is>
          <t>15/11/2025</t>
        </is>
      </c>
      <c r="B275" s="4" t="inlineStr">
        <is>
          <t>Dental</t>
        </is>
      </c>
      <c r="C275" s="5" t="inlineStr">
        <is>
          <t>Dr. Aminath Khazna Musthafa</t>
        </is>
      </c>
      <c r="D275" s="4" t="inlineStr"/>
      <c r="E275" s="4">
        <f>IF($D275="Custom","",IFERROR(XLOOKUP($B275&amp;"|"&amp;$D275,ShiftKnowledge!$A$2:$A$9,ShiftKnowledge!$D$2:$D$9,""),IFERROR(INDEX(ShiftKnowledge!$D$2:$D$9,MATCH($B275&amp;"|"&amp;$D275,ShiftKnowledge!$A$2:$A$9,0)),"")))</f>
        <v/>
      </c>
      <c r="F275" s="4" t="inlineStr"/>
      <c r="G275" s="4">
        <f>IF(AND($I275="",$L275=""),"",IFERROR(VALUE($I275),0)+IFERROR(VALUE($L275),0))</f>
        <v/>
      </c>
      <c r="H275" s="4">
        <f>IF($D275="Custom","",IFERROR(XLOOKUP($B275&amp;"|"&amp;$D275,ShiftKnowledge!$A$2:$A$9,ShiftKnowledge!$E$2:$E$9,""),IFERROR(INDEX(ShiftKnowledge!$E$2:$E$9,MATCH($B275&amp;"|"&amp;$D275,ShiftKnowledge!$A$2:$A$9,0)),"")))</f>
        <v/>
      </c>
      <c r="I275" s="4">
        <f>IF($D275="Custom","",IFERROR(XLOOKUP($B275&amp;"|"&amp;$D275,ShiftKnowledge!$A$2:$A$9,ShiftKnowledge!$F$2:$F$9,""),IFERROR(INDEX(ShiftKnowledge!$F$2:$F$9,MATCH($B275&amp;"|"&amp;$D275,ShiftKnowledge!$A$2:$A$9,0)),"")))</f>
        <v/>
      </c>
      <c r="J275" s="4">
        <f>IF($D275="Custom","",IFERROR(XLOOKUP($B275&amp;"|"&amp;$D275,ShiftKnowledge!$A$2:$A$9,ShiftKnowledge!$G$2:$G$9,""),IFERROR(INDEX(ShiftKnowledge!$G$2:$G$9,MATCH($B275&amp;"|"&amp;$D275,ShiftKnowledge!$A$2:$A$9,0)),"")))</f>
        <v/>
      </c>
      <c r="K275" s="4">
        <f>IF($D275="Custom","",IFERROR(XLOOKUP($B275&amp;"|"&amp;$D275,ShiftKnowledge!$A$2:$A$9,ShiftKnowledge!$H$2:$H$9,""),IFERROR(INDEX(ShiftKnowledge!$H$2:$H$9,MATCH($B275&amp;"|"&amp;$D275,ShiftKnowledge!$A$2:$A$9,0)),"")))</f>
        <v/>
      </c>
      <c r="L275" s="4">
        <f>IF($D275="Custom","",IFERROR(XLOOKUP($B275&amp;"|"&amp;$D275,ShiftKnowledge!$A$2:$A$9,ShiftKnowledge!$I$2:$I$9,""),IFERROR(INDEX(ShiftKnowledge!$I$2:$I$9,MATCH($B275&amp;"|"&amp;$D275,ShiftKnowledge!$A$2:$A$9,0)),"")))</f>
        <v/>
      </c>
      <c r="M275" s="4" t="inlineStr"/>
    </row>
    <row r="276" ht="20" customHeight="1">
      <c r="A276" s="6" t="inlineStr">
        <is>
          <t>15/11/2025</t>
        </is>
      </c>
      <c r="B276" s="6" t="inlineStr">
        <is>
          <t>Internal Medicine</t>
        </is>
      </c>
      <c r="C276" s="7" t="inlineStr">
        <is>
          <t>Dr. Aminath Munaza</t>
        </is>
      </c>
      <c r="D276" s="6" t="inlineStr"/>
      <c r="E276" s="6">
        <f>IF($D276="Custom","",IFERROR(XLOOKUP($B276&amp;"|"&amp;$D276,ShiftKnowledge!$A$2:$A$9,ShiftKnowledge!$D$2:$D$9,""),IFERROR(INDEX(ShiftKnowledge!$D$2:$D$9,MATCH($B276&amp;"|"&amp;$D276,ShiftKnowledge!$A$2:$A$9,0)),"")))</f>
        <v/>
      </c>
      <c r="F276" s="6" t="inlineStr"/>
      <c r="G276" s="6">
        <f>IF(AND($I276="",$L276=""),"",IFERROR(VALUE($I276),0)+IFERROR(VALUE($L276),0))</f>
        <v/>
      </c>
      <c r="H276" s="6">
        <f>IF($D276="Custom","",IFERROR(XLOOKUP($B276&amp;"|"&amp;$D276,ShiftKnowledge!$A$2:$A$9,ShiftKnowledge!$E$2:$E$9,""),IFERROR(INDEX(ShiftKnowledge!$E$2:$E$9,MATCH($B276&amp;"|"&amp;$D276,ShiftKnowledge!$A$2:$A$9,0)),"")))</f>
        <v/>
      </c>
      <c r="I276" s="6">
        <f>IF($D276="Custom","",IFERROR(XLOOKUP($B276&amp;"|"&amp;$D276,ShiftKnowledge!$A$2:$A$9,ShiftKnowledge!$F$2:$F$9,""),IFERROR(INDEX(ShiftKnowledge!$F$2:$F$9,MATCH($B276&amp;"|"&amp;$D276,ShiftKnowledge!$A$2:$A$9,0)),"")))</f>
        <v/>
      </c>
      <c r="J276" s="6">
        <f>IF($D276="Custom","",IFERROR(XLOOKUP($B276&amp;"|"&amp;$D276,ShiftKnowledge!$A$2:$A$9,ShiftKnowledge!$G$2:$G$9,""),IFERROR(INDEX(ShiftKnowledge!$G$2:$G$9,MATCH($B276&amp;"|"&amp;$D276,ShiftKnowledge!$A$2:$A$9,0)),"")))</f>
        <v/>
      </c>
      <c r="K276" s="6">
        <f>IF($D276="Custom","",IFERROR(XLOOKUP($B276&amp;"|"&amp;$D276,ShiftKnowledge!$A$2:$A$9,ShiftKnowledge!$H$2:$H$9,""),IFERROR(INDEX(ShiftKnowledge!$H$2:$H$9,MATCH($B276&amp;"|"&amp;$D276,ShiftKnowledge!$A$2:$A$9,0)),"")))</f>
        <v/>
      </c>
      <c r="L276" s="6">
        <f>IF($D276="Custom","",IFERROR(XLOOKUP($B276&amp;"|"&amp;$D276,ShiftKnowledge!$A$2:$A$9,ShiftKnowledge!$I$2:$I$9,""),IFERROR(INDEX(ShiftKnowledge!$I$2:$I$9,MATCH($B276&amp;"|"&amp;$D276,ShiftKnowledge!$A$2:$A$9,0)),"")))</f>
        <v/>
      </c>
      <c r="M276" s="6" t="inlineStr"/>
    </row>
    <row r="277" ht="20" customHeight="1">
      <c r="A277" s="4" t="inlineStr">
        <is>
          <t>15/11/2025</t>
        </is>
      </c>
      <c r="B277" s="4" t="inlineStr">
        <is>
          <t>Psychiatry</t>
        </is>
      </c>
      <c r="C277" s="5" t="inlineStr">
        <is>
          <t>Dr. Anas Mohamed Anwar Ahmed Ali</t>
        </is>
      </c>
      <c r="D277" s="4" t="inlineStr"/>
      <c r="E277" s="4">
        <f>IF($D277="Custom","",IFERROR(XLOOKUP($B277&amp;"|"&amp;$D277,ShiftKnowledge!$A$2:$A$9,ShiftKnowledge!$D$2:$D$9,""),IFERROR(INDEX(ShiftKnowledge!$D$2:$D$9,MATCH($B277&amp;"|"&amp;$D277,ShiftKnowledge!$A$2:$A$9,0)),"")))</f>
        <v/>
      </c>
      <c r="F277" s="4" t="inlineStr"/>
      <c r="G277" s="4">
        <f>IF(AND($I277="",$L277=""),"",IFERROR(VALUE($I277),0)+IFERROR(VALUE($L277),0))</f>
        <v/>
      </c>
      <c r="H277" s="4">
        <f>IF($D277="Custom","",IFERROR(XLOOKUP($B277&amp;"|"&amp;$D277,ShiftKnowledge!$A$2:$A$9,ShiftKnowledge!$E$2:$E$9,""),IFERROR(INDEX(ShiftKnowledge!$E$2:$E$9,MATCH($B277&amp;"|"&amp;$D277,ShiftKnowledge!$A$2:$A$9,0)),"")))</f>
        <v/>
      </c>
      <c r="I277" s="4">
        <f>IF($D277="Custom","",IFERROR(XLOOKUP($B277&amp;"|"&amp;$D277,ShiftKnowledge!$A$2:$A$9,ShiftKnowledge!$F$2:$F$9,""),IFERROR(INDEX(ShiftKnowledge!$F$2:$F$9,MATCH($B277&amp;"|"&amp;$D277,ShiftKnowledge!$A$2:$A$9,0)),"")))</f>
        <v/>
      </c>
      <c r="J277" s="4">
        <f>IF($D277="Custom","",IFERROR(XLOOKUP($B277&amp;"|"&amp;$D277,ShiftKnowledge!$A$2:$A$9,ShiftKnowledge!$G$2:$G$9,""),IFERROR(INDEX(ShiftKnowledge!$G$2:$G$9,MATCH($B277&amp;"|"&amp;$D277,ShiftKnowledge!$A$2:$A$9,0)),"")))</f>
        <v/>
      </c>
      <c r="K277" s="4">
        <f>IF($D277="Custom","",IFERROR(XLOOKUP($B277&amp;"|"&amp;$D277,ShiftKnowledge!$A$2:$A$9,ShiftKnowledge!$H$2:$H$9,""),IFERROR(INDEX(ShiftKnowledge!$H$2:$H$9,MATCH($B277&amp;"|"&amp;$D277,ShiftKnowledge!$A$2:$A$9,0)),"")))</f>
        <v/>
      </c>
      <c r="L277" s="4">
        <f>IF($D277="Custom","",IFERROR(XLOOKUP($B277&amp;"|"&amp;$D277,ShiftKnowledge!$A$2:$A$9,ShiftKnowledge!$I$2:$I$9,""),IFERROR(INDEX(ShiftKnowledge!$I$2:$I$9,MATCH($B277&amp;"|"&amp;$D277,ShiftKnowledge!$A$2:$A$9,0)),"")))</f>
        <v/>
      </c>
      <c r="M277" s="4" t="inlineStr"/>
    </row>
    <row r="278" ht="20" customHeight="1">
      <c r="A278" s="6" t="inlineStr">
        <is>
          <t>15/11/2025</t>
        </is>
      </c>
      <c r="B278" s="6" t="inlineStr">
        <is>
          <t>Oral Maxillo facial surgery (OMS)</t>
        </is>
      </c>
      <c r="C278" s="7" t="inlineStr">
        <is>
          <t>Dr. Arpita Singh</t>
        </is>
      </c>
      <c r="D278" s="6" t="inlineStr"/>
      <c r="E278" s="6">
        <f>IF($D278="Custom","",IFERROR(XLOOKUP($B278&amp;"|"&amp;$D278,ShiftKnowledge!$A$2:$A$9,ShiftKnowledge!$D$2:$D$9,""),IFERROR(INDEX(ShiftKnowledge!$D$2:$D$9,MATCH($B278&amp;"|"&amp;$D278,ShiftKnowledge!$A$2:$A$9,0)),"")))</f>
        <v/>
      </c>
      <c r="F278" s="6" t="inlineStr"/>
      <c r="G278" s="6">
        <f>IF(AND($I278="",$L278=""),"",IFERROR(VALUE($I278),0)+IFERROR(VALUE($L278),0))</f>
        <v/>
      </c>
      <c r="H278" s="6">
        <f>IF($D278="Custom","",IFERROR(XLOOKUP($B278&amp;"|"&amp;$D278,ShiftKnowledge!$A$2:$A$9,ShiftKnowledge!$E$2:$E$9,""),IFERROR(INDEX(ShiftKnowledge!$E$2:$E$9,MATCH($B278&amp;"|"&amp;$D278,ShiftKnowledge!$A$2:$A$9,0)),"")))</f>
        <v/>
      </c>
      <c r="I278" s="6">
        <f>IF($D278="Custom","",IFERROR(XLOOKUP($B278&amp;"|"&amp;$D278,ShiftKnowledge!$A$2:$A$9,ShiftKnowledge!$F$2:$F$9,""),IFERROR(INDEX(ShiftKnowledge!$F$2:$F$9,MATCH($B278&amp;"|"&amp;$D278,ShiftKnowledge!$A$2:$A$9,0)),"")))</f>
        <v/>
      </c>
      <c r="J278" s="6">
        <f>IF($D278="Custom","",IFERROR(XLOOKUP($B278&amp;"|"&amp;$D278,ShiftKnowledge!$A$2:$A$9,ShiftKnowledge!$G$2:$G$9,""),IFERROR(INDEX(ShiftKnowledge!$G$2:$G$9,MATCH($B278&amp;"|"&amp;$D278,ShiftKnowledge!$A$2:$A$9,0)),"")))</f>
        <v/>
      </c>
      <c r="K278" s="6">
        <f>IF($D278="Custom","",IFERROR(XLOOKUP($B278&amp;"|"&amp;$D278,ShiftKnowledge!$A$2:$A$9,ShiftKnowledge!$H$2:$H$9,""),IFERROR(INDEX(ShiftKnowledge!$H$2:$H$9,MATCH($B278&amp;"|"&amp;$D278,ShiftKnowledge!$A$2:$A$9,0)),"")))</f>
        <v/>
      </c>
      <c r="L278" s="6">
        <f>IF($D278="Custom","",IFERROR(XLOOKUP($B278&amp;"|"&amp;$D278,ShiftKnowledge!$A$2:$A$9,ShiftKnowledge!$I$2:$I$9,""),IFERROR(INDEX(ShiftKnowledge!$I$2:$I$9,MATCH($B278&amp;"|"&amp;$D278,ShiftKnowledge!$A$2:$A$9,0)),"")))</f>
        <v/>
      </c>
      <c r="M278" s="6" t="inlineStr"/>
    </row>
    <row r="279" ht="20" customHeight="1">
      <c r="A279" s="4" t="inlineStr">
        <is>
          <t>15/11/2025</t>
        </is>
      </c>
      <c r="B279" s="4" t="inlineStr">
        <is>
          <t>Orthopaedics</t>
        </is>
      </c>
      <c r="C279" s="5" t="inlineStr">
        <is>
          <t>Dr. Asish Rajak</t>
        </is>
      </c>
      <c r="D279" s="4" t="inlineStr"/>
      <c r="E279" s="4">
        <f>IF($D279="Custom","",IFERROR(XLOOKUP($B279&amp;"|"&amp;$D279,ShiftKnowledge!$A$2:$A$9,ShiftKnowledge!$D$2:$D$9,""),IFERROR(INDEX(ShiftKnowledge!$D$2:$D$9,MATCH($B279&amp;"|"&amp;$D279,ShiftKnowledge!$A$2:$A$9,0)),"")))</f>
        <v/>
      </c>
      <c r="F279" s="4" t="inlineStr"/>
      <c r="G279" s="4">
        <f>IF(AND($I279="",$L279=""),"",IFERROR(VALUE($I279),0)+IFERROR(VALUE($L279),0))</f>
        <v/>
      </c>
      <c r="H279" s="4">
        <f>IF($D279="Custom","",IFERROR(XLOOKUP($B279&amp;"|"&amp;$D279,ShiftKnowledge!$A$2:$A$9,ShiftKnowledge!$E$2:$E$9,""),IFERROR(INDEX(ShiftKnowledge!$E$2:$E$9,MATCH($B279&amp;"|"&amp;$D279,ShiftKnowledge!$A$2:$A$9,0)),"")))</f>
        <v/>
      </c>
      <c r="I279" s="4">
        <f>IF($D279="Custom","",IFERROR(XLOOKUP($B279&amp;"|"&amp;$D279,ShiftKnowledge!$A$2:$A$9,ShiftKnowledge!$F$2:$F$9,""),IFERROR(INDEX(ShiftKnowledge!$F$2:$F$9,MATCH($B279&amp;"|"&amp;$D279,ShiftKnowledge!$A$2:$A$9,0)),"")))</f>
        <v/>
      </c>
      <c r="J279" s="4">
        <f>IF($D279="Custom","",IFERROR(XLOOKUP($B279&amp;"|"&amp;$D279,ShiftKnowledge!$A$2:$A$9,ShiftKnowledge!$G$2:$G$9,""),IFERROR(INDEX(ShiftKnowledge!$G$2:$G$9,MATCH($B279&amp;"|"&amp;$D279,ShiftKnowledge!$A$2:$A$9,0)),"")))</f>
        <v/>
      </c>
      <c r="K279" s="4">
        <f>IF($D279="Custom","",IFERROR(XLOOKUP($B279&amp;"|"&amp;$D279,ShiftKnowledge!$A$2:$A$9,ShiftKnowledge!$H$2:$H$9,""),IFERROR(INDEX(ShiftKnowledge!$H$2:$H$9,MATCH($B279&amp;"|"&amp;$D279,ShiftKnowledge!$A$2:$A$9,0)),"")))</f>
        <v/>
      </c>
      <c r="L279" s="4">
        <f>IF($D279="Custom","",IFERROR(XLOOKUP($B279&amp;"|"&amp;$D279,ShiftKnowledge!$A$2:$A$9,ShiftKnowledge!$I$2:$I$9,""),IFERROR(INDEX(ShiftKnowledge!$I$2:$I$9,MATCH($B279&amp;"|"&amp;$D279,ShiftKnowledge!$A$2:$A$9,0)),"")))</f>
        <v/>
      </c>
      <c r="M279" s="4" t="inlineStr"/>
    </row>
    <row r="280" ht="20" customHeight="1">
      <c r="A280" s="6" t="inlineStr">
        <is>
          <t>15/11/2025</t>
        </is>
      </c>
      <c r="B280" s="6" t="inlineStr">
        <is>
          <t>Dermatology</t>
        </is>
      </c>
      <c r="C280" s="7" t="inlineStr">
        <is>
          <t>Dr. Aya Gamal Kotb Mohamed Elagamy</t>
        </is>
      </c>
      <c r="D280" s="6" t="inlineStr"/>
      <c r="E280" s="6">
        <f>IF($D280="Custom","",IFERROR(XLOOKUP($B280&amp;"|"&amp;$D280,ShiftKnowledge!$A$2:$A$9,ShiftKnowledge!$D$2:$D$9,""),IFERROR(INDEX(ShiftKnowledge!$D$2:$D$9,MATCH($B280&amp;"|"&amp;$D280,ShiftKnowledge!$A$2:$A$9,0)),"")))</f>
        <v/>
      </c>
      <c r="F280" s="6" t="inlineStr"/>
      <c r="G280" s="6">
        <f>IF(AND($I280="",$L280=""),"",IFERROR(VALUE($I280),0)+IFERROR(VALUE($L280),0))</f>
        <v/>
      </c>
      <c r="H280" s="6">
        <f>IF($D280="Custom","",IFERROR(XLOOKUP($B280&amp;"|"&amp;$D280,ShiftKnowledge!$A$2:$A$9,ShiftKnowledge!$E$2:$E$9,""),IFERROR(INDEX(ShiftKnowledge!$E$2:$E$9,MATCH($B280&amp;"|"&amp;$D280,ShiftKnowledge!$A$2:$A$9,0)),"")))</f>
        <v/>
      </c>
      <c r="I280" s="6">
        <f>IF($D280="Custom","",IFERROR(XLOOKUP($B280&amp;"|"&amp;$D280,ShiftKnowledge!$A$2:$A$9,ShiftKnowledge!$F$2:$F$9,""),IFERROR(INDEX(ShiftKnowledge!$F$2:$F$9,MATCH($B280&amp;"|"&amp;$D280,ShiftKnowledge!$A$2:$A$9,0)),"")))</f>
        <v/>
      </c>
      <c r="J280" s="6">
        <f>IF($D280="Custom","",IFERROR(XLOOKUP($B280&amp;"|"&amp;$D280,ShiftKnowledge!$A$2:$A$9,ShiftKnowledge!$G$2:$G$9,""),IFERROR(INDEX(ShiftKnowledge!$G$2:$G$9,MATCH($B280&amp;"|"&amp;$D280,ShiftKnowledge!$A$2:$A$9,0)),"")))</f>
        <v/>
      </c>
      <c r="K280" s="6">
        <f>IF($D280="Custom","",IFERROR(XLOOKUP($B280&amp;"|"&amp;$D280,ShiftKnowledge!$A$2:$A$9,ShiftKnowledge!$H$2:$H$9,""),IFERROR(INDEX(ShiftKnowledge!$H$2:$H$9,MATCH($B280&amp;"|"&amp;$D280,ShiftKnowledge!$A$2:$A$9,0)),"")))</f>
        <v/>
      </c>
      <c r="L280" s="6">
        <f>IF($D280="Custom","",IFERROR(XLOOKUP($B280&amp;"|"&amp;$D280,ShiftKnowledge!$A$2:$A$9,ShiftKnowledge!$I$2:$I$9,""),IFERROR(INDEX(ShiftKnowledge!$I$2:$I$9,MATCH($B280&amp;"|"&amp;$D280,ShiftKnowledge!$A$2:$A$9,0)),"")))</f>
        <v/>
      </c>
      <c r="M280" s="6" t="inlineStr"/>
    </row>
    <row r="281" ht="20" customHeight="1">
      <c r="A281" s="4" t="inlineStr">
        <is>
          <t>15/11/2025</t>
        </is>
      </c>
      <c r="B281" s="4" t="inlineStr">
        <is>
          <t>Dental</t>
        </is>
      </c>
      <c r="C281" s="5" t="inlineStr">
        <is>
          <t>Dr. Benjamin Premkumar</t>
        </is>
      </c>
      <c r="D281" s="4" t="inlineStr"/>
      <c r="E281" s="4">
        <f>IF($D281="Custom","",IFERROR(XLOOKUP($B281&amp;"|"&amp;$D281,ShiftKnowledge!$A$2:$A$9,ShiftKnowledge!$D$2:$D$9,""),IFERROR(INDEX(ShiftKnowledge!$D$2:$D$9,MATCH($B281&amp;"|"&amp;$D281,ShiftKnowledge!$A$2:$A$9,0)),"")))</f>
        <v/>
      </c>
      <c r="F281" s="4" t="inlineStr"/>
      <c r="G281" s="4">
        <f>IF(AND($I281="",$L281=""),"",IFERROR(VALUE($I281),0)+IFERROR(VALUE($L281),0))</f>
        <v/>
      </c>
      <c r="H281" s="4">
        <f>IF($D281="Custom","",IFERROR(XLOOKUP($B281&amp;"|"&amp;$D281,ShiftKnowledge!$A$2:$A$9,ShiftKnowledge!$E$2:$E$9,""),IFERROR(INDEX(ShiftKnowledge!$E$2:$E$9,MATCH($B281&amp;"|"&amp;$D281,ShiftKnowledge!$A$2:$A$9,0)),"")))</f>
        <v/>
      </c>
      <c r="I281" s="4">
        <f>IF($D281="Custom","",IFERROR(XLOOKUP($B281&amp;"|"&amp;$D281,ShiftKnowledge!$A$2:$A$9,ShiftKnowledge!$F$2:$F$9,""),IFERROR(INDEX(ShiftKnowledge!$F$2:$F$9,MATCH($B281&amp;"|"&amp;$D281,ShiftKnowledge!$A$2:$A$9,0)),"")))</f>
        <v/>
      </c>
      <c r="J281" s="4">
        <f>IF($D281="Custom","",IFERROR(XLOOKUP($B281&amp;"|"&amp;$D281,ShiftKnowledge!$A$2:$A$9,ShiftKnowledge!$G$2:$G$9,""),IFERROR(INDEX(ShiftKnowledge!$G$2:$G$9,MATCH($B281&amp;"|"&amp;$D281,ShiftKnowledge!$A$2:$A$9,0)),"")))</f>
        <v/>
      </c>
      <c r="K281" s="4">
        <f>IF($D281="Custom","",IFERROR(XLOOKUP($B281&amp;"|"&amp;$D281,ShiftKnowledge!$A$2:$A$9,ShiftKnowledge!$H$2:$H$9,""),IFERROR(INDEX(ShiftKnowledge!$H$2:$H$9,MATCH($B281&amp;"|"&amp;$D281,ShiftKnowledge!$A$2:$A$9,0)),"")))</f>
        <v/>
      </c>
      <c r="L281" s="4">
        <f>IF($D281="Custom","",IFERROR(XLOOKUP($B281&amp;"|"&amp;$D281,ShiftKnowledge!$A$2:$A$9,ShiftKnowledge!$I$2:$I$9,""),IFERROR(INDEX(ShiftKnowledge!$I$2:$I$9,MATCH($B281&amp;"|"&amp;$D281,ShiftKnowledge!$A$2:$A$9,0)),"")))</f>
        <v/>
      </c>
      <c r="M281" s="4" t="inlineStr"/>
    </row>
    <row r="282" ht="20" customHeight="1">
      <c r="A282" s="6" t="inlineStr">
        <is>
          <t>15/11/2025</t>
        </is>
      </c>
      <c r="B282" s="6" t="inlineStr">
        <is>
          <t>Internal Medicine</t>
        </is>
      </c>
      <c r="C282" s="7" t="inlineStr">
        <is>
          <t>Dr. Cho Thway Mon</t>
        </is>
      </c>
      <c r="D282" s="6" t="inlineStr"/>
      <c r="E282" s="6">
        <f>IF($D282="Custom","",IFERROR(XLOOKUP($B282&amp;"|"&amp;$D282,ShiftKnowledge!$A$2:$A$9,ShiftKnowledge!$D$2:$D$9,""),IFERROR(INDEX(ShiftKnowledge!$D$2:$D$9,MATCH($B282&amp;"|"&amp;$D282,ShiftKnowledge!$A$2:$A$9,0)),"")))</f>
        <v/>
      </c>
      <c r="F282" s="6" t="inlineStr"/>
      <c r="G282" s="6">
        <f>IF(AND($I282="",$L282=""),"",IFERROR(VALUE($I282),0)+IFERROR(VALUE($L282),0))</f>
        <v/>
      </c>
      <c r="H282" s="6">
        <f>IF($D282="Custom","",IFERROR(XLOOKUP($B282&amp;"|"&amp;$D282,ShiftKnowledge!$A$2:$A$9,ShiftKnowledge!$E$2:$E$9,""),IFERROR(INDEX(ShiftKnowledge!$E$2:$E$9,MATCH($B282&amp;"|"&amp;$D282,ShiftKnowledge!$A$2:$A$9,0)),"")))</f>
        <v/>
      </c>
      <c r="I282" s="6">
        <f>IF($D282="Custom","",IFERROR(XLOOKUP($B282&amp;"|"&amp;$D282,ShiftKnowledge!$A$2:$A$9,ShiftKnowledge!$F$2:$F$9,""),IFERROR(INDEX(ShiftKnowledge!$F$2:$F$9,MATCH($B282&amp;"|"&amp;$D282,ShiftKnowledge!$A$2:$A$9,0)),"")))</f>
        <v/>
      </c>
      <c r="J282" s="6">
        <f>IF($D282="Custom","",IFERROR(XLOOKUP($B282&amp;"|"&amp;$D282,ShiftKnowledge!$A$2:$A$9,ShiftKnowledge!$G$2:$G$9,""),IFERROR(INDEX(ShiftKnowledge!$G$2:$G$9,MATCH($B282&amp;"|"&amp;$D282,ShiftKnowledge!$A$2:$A$9,0)),"")))</f>
        <v/>
      </c>
      <c r="K282" s="6">
        <f>IF($D282="Custom","",IFERROR(XLOOKUP($B282&amp;"|"&amp;$D282,ShiftKnowledge!$A$2:$A$9,ShiftKnowledge!$H$2:$H$9,""),IFERROR(INDEX(ShiftKnowledge!$H$2:$H$9,MATCH($B282&amp;"|"&amp;$D282,ShiftKnowledge!$A$2:$A$9,0)),"")))</f>
        <v/>
      </c>
      <c r="L282" s="6">
        <f>IF($D282="Custom","",IFERROR(XLOOKUP($B282&amp;"|"&amp;$D282,ShiftKnowledge!$A$2:$A$9,ShiftKnowledge!$I$2:$I$9,""),IFERROR(INDEX(ShiftKnowledge!$I$2:$I$9,MATCH($B282&amp;"|"&amp;$D282,ShiftKnowledge!$A$2:$A$9,0)),"")))</f>
        <v/>
      </c>
      <c r="M282" s="6" t="inlineStr"/>
    </row>
    <row r="283" ht="20" customHeight="1">
      <c r="A283" s="4" t="inlineStr">
        <is>
          <t>15/11/2025</t>
        </is>
      </c>
      <c r="B283" s="4" t="inlineStr">
        <is>
          <t>Orthopaedics</t>
        </is>
      </c>
      <c r="C283" s="5" t="inlineStr">
        <is>
          <t>Dr. Dinesh Kumar Pandit</t>
        </is>
      </c>
      <c r="D283" s="4" t="inlineStr"/>
      <c r="E283" s="4">
        <f>IF($D283="Custom","",IFERROR(XLOOKUP($B283&amp;"|"&amp;$D283,ShiftKnowledge!$A$2:$A$9,ShiftKnowledge!$D$2:$D$9,""),IFERROR(INDEX(ShiftKnowledge!$D$2:$D$9,MATCH($B283&amp;"|"&amp;$D283,ShiftKnowledge!$A$2:$A$9,0)),"")))</f>
        <v/>
      </c>
      <c r="F283" s="4" t="inlineStr"/>
      <c r="G283" s="4">
        <f>IF(AND($I283="",$L283=""),"",IFERROR(VALUE($I283),0)+IFERROR(VALUE($L283),0))</f>
        <v/>
      </c>
      <c r="H283" s="4">
        <f>IF($D283="Custom","",IFERROR(XLOOKUP($B283&amp;"|"&amp;$D283,ShiftKnowledge!$A$2:$A$9,ShiftKnowledge!$E$2:$E$9,""),IFERROR(INDEX(ShiftKnowledge!$E$2:$E$9,MATCH($B283&amp;"|"&amp;$D283,ShiftKnowledge!$A$2:$A$9,0)),"")))</f>
        <v/>
      </c>
      <c r="I283" s="4">
        <f>IF($D283="Custom","",IFERROR(XLOOKUP($B283&amp;"|"&amp;$D283,ShiftKnowledge!$A$2:$A$9,ShiftKnowledge!$F$2:$F$9,""),IFERROR(INDEX(ShiftKnowledge!$F$2:$F$9,MATCH($B283&amp;"|"&amp;$D283,ShiftKnowledge!$A$2:$A$9,0)),"")))</f>
        <v/>
      </c>
      <c r="J283" s="4">
        <f>IF($D283="Custom","",IFERROR(XLOOKUP($B283&amp;"|"&amp;$D283,ShiftKnowledge!$A$2:$A$9,ShiftKnowledge!$G$2:$G$9,""),IFERROR(INDEX(ShiftKnowledge!$G$2:$G$9,MATCH($B283&amp;"|"&amp;$D283,ShiftKnowledge!$A$2:$A$9,0)),"")))</f>
        <v/>
      </c>
      <c r="K283" s="4">
        <f>IF($D283="Custom","",IFERROR(XLOOKUP($B283&amp;"|"&amp;$D283,ShiftKnowledge!$A$2:$A$9,ShiftKnowledge!$H$2:$H$9,""),IFERROR(INDEX(ShiftKnowledge!$H$2:$H$9,MATCH($B283&amp;"|"&amp;$D283,ShiftKnowledge!$A$2:$A$9,0)),"")))</f>
        <v/>
      </c>
      <c r="L283" s="4">
        <f>IF($D283="Custom","",IFERROR(XLOOKUP($B283&amp;"|"&amp;$D283,ShiftKnowledge!$A$2:$A$9,ShiftKnowledge!$I$2:$I$9,""),IFERROR(INDEX(ShiftKnowledge!$I$2:$I$9,MATCH($B283&amp;"|"&amp;$D283,ShiftKnowledge!$A$2:$A$9,0)),"")))</f>
        <v/>
      </c>
      <c r="M283" s="4" t="inlineStr"/>
    </row>
    <row r="284" ht="20" customHeight="1">
      <c r="A284" s="6" t="inlineStr">
        <is>
          <t>15/11/2025</t>
        </is>
      </c>
      <c r="B284" s="6" t="inlineStr">
        <is>
          <t>Internal Medicine</t>
        </is>
      </c>
      <c r="C284" s="7" t="inlineStr">
        <is>
          <t>Dr. Ei Shwe Yee Myint</t>
        </is>
      </c>
      <c r="D284" s="6" t="inlineStr"/>
      <c r="E284" s="6">
        <f>IF($D284="Custom","",IFERROR(XLOOKUP($B284&amp;"|"&amp;$D284,ShiftKnowledge!$A$2:$A$9,ShiftKnowledge!$D$2:$D$9,""),IFERROR(INDEX(ShiftKnowledge!$D$2:$D$9,MATCH($B284&amp;"|"&amp;$D284,ShiftKnowledge!$A$2:$A$9,0)),"")))</f>
        <v/>
      </c>
      <c r="F284" s="6" t="inlineStr"/>
      <c r="G284" s="6">
        <f>IF(AND($I284="",$L284=""),"",IFERROR(VALUE($I284),0)+IFERROR(VALUE($L284),0))</f>
        <v/>
      </c>
      <c r="H284" s="6">
        <f>IF($D284="Custom","",IFERROR(XLOOKUP($B284&amp;"|"&amp;$D284,ShiftKnowledge!$A$2:$A$9,ShiftKnowledge!$E$2:$E$9,""),IFERROR(INDEX(ShiftKnowledge!$E$2:$E$9,MATCH($B284&amp;"|"&amp;$D284,ShiftKnowledge!$A$2:$A$9,0)),"")))</f>
        <v/>
      </c>
      <c r="I284" s="6">
        <f>IF($D284="Custom","",IFERROR(XLOOKUP($B284&amp;"|"&amp;$D284,ShiftKnowledge!$A$2:$A$9,ShiftKnowledge!$F$2:$F$9,""),IFERROR(INDEX(ShiftKnowledge!$F$2:$F$9,MATCH($B284&amp;"|"&amp;$D284,ShiftKnowledge!$A$2:$A$9,0)),"")))</f>
        <v/>
      </c>
      <c r="J284" s="6">
        <f>IF($D284="Custom","",IFERROR(XLOOKUP($B284&amp;"|"&amp;$D284,ShiftKnowledge!$A$2:$A$9,ShiftKnowledge!$G$2:$G$9,""),IFERROR(INDEX(ShiftKnowledge!$G$2:$G$9,MATCH($B284&amp;"|"&amp;$D284,ShiftKnowledge!$A$2:$A$9,0)),"")))</f>
        <v/>
      </c>
      <c r="K284" s="6">
        <f>IF($D284="Custom","",IFERROR(XLOOKUP($B284&amp;"|"&amp;$D284,ShiftKnowledge!$A$2:$A$9,ShiftKnowledge!$H$2:$H$9,""),IFERROR(INDEX(ShiftKnowledge!$H$2:$H$9,MATCH($B284&amp;"|"&amp;$D284,ShiftKnowledge!$A$2:$A$9,0)),"")))</f>
        <v/>
      </c>
      <c r="L284" s="6">
        <f>IF($D284="Custom","",IFERROR(XLOOKUP($B284&amp;"|"&amp;$D284,ShiftKnowledge!$A$2:$A$9,ShiftKnowledge!$I$2:$I$9,""),IFERROR(INDEX(ShiftKnowledge!$I$2:$I$9,MATCH($B284&amp;"|"&amp;$D284,ShiftKnowledge!$A$2:$A$9,0)),"")))</f>
        <v/>
      </c>
      <c r="M284" s="6" t="inlineStr"/>
    </row>
    <row r="285" ht="20" customHeight="1">
      <c r="A285" s="4" t="inlineStr">
        <is>
          <t>15/11/2025</t>
        </is>
      </c>
      <c r="B285" s="4" t="inlineStr">
        <is>
          <t>Internal Medicine</t>
        </is>
      </c>
      <c r="C285" s="5" t="inlineStr">
        <is>
          <t>Dr. Hatem Hassan Mohamed Abdelhafez</t>
        </is>
      </c>
      <c r="D285" s="4" t="inlineStr"/>
      <c r="E285" s="4">
        <f>IF($D285="Custom","",IFERROR(XLOOKUP($B285&amp;"|"&amp;$D285,ShiftKnowledge!$A$2:$A$9,ShiftKnowledge!$D$2:$D$9,""),IFERROR(INDEX(ShiftKnowledge!$D$2:$D$9,MATCH($B285&amp;"|"&amp;$D285,ShiftKnowledge!$A$2:$A$9,0)),"")))</f>
        <v/>
      </c>
      <c r="F285" s="4" t="inlineStr"/>
      <c r="G285" s="4">
        <f>IF(AND($I285="",$L285=""),"",IFERROR(VALUE($I285),0)+IFERROR(VALUE($L285),0))</f>
        <v/>
      </c>
      <c r="H285" s="4">
        <f>IF($D285="Custom","",IFERROR(XLOOKUP($B285&amp;"|"&amp;$D285,ShiftKnowledge!$A$2:$A$9,ShiftKnowledge!$E$2:$E$9,""),IFERROR(INDEX(ShiftKnowledge!$E$2:$E$9,MATCH($B285&amp;"|"&amp;$D285,ShiftKnowledge!$A$2:$A$9,0)),"")))</f>
        <v/>
      </c>
      <c r="I285" s="4">
        <f>IF($D285="Custom","",IFERROR(XLOOKUP($B285&amp;"|"&amp;$D285,ShiftKnowledge!$A$2:$A$9,ShiftKnowledge!$F$2:$F$9,""),IFERROR(INDEX(ShiftKnowledge!$F$2:$F$9,MATCH($B285&amp;"|"&amp;$D285,ShiftKnowledge!$A$2:$A$9,0)),"")))</f>
        <v/>
      </c>
      <c r="J285" s="4">
        <f>IF($D285="Custom","",IFERROR(XLOOKUP($B285&amp;"|"&amp;$D285,ShiftKnowledge!$A$2:$A$9,ShiftKnowledge!$G$2:$G$9,""),IFERROR(INDEX(ShiftKnowledge!$G$2:$G$9,MATCH($B285&amp;"|"&amp;$D285,ShiftKnowledge!$A$2:$A$9,0)),"")))</f>
        <v/>
      </c>
      <c r="K285" s="4">
        <f>IF($D285="Custom","",IFERROR(XLOOKUP($B285&amp;"|"&amp;$D285,ShiftKnowledge!$A$2:$A$9,ShiftKnowledge!$H$2:$H$9,""),IFERROR(INDEX(ShiftKnowledge!$H$2:$H$9,MATCH($B285&amp;"|"&amp;$D285,ShiftKnowledge!$A$2:$A$9,0)),"")))</f>
        <v/>
      </c>
      <c r="L285" s="4">
        <f>IF($D285="Custom","",IFERROR(XLOOKUP($B285&amp;"|"&amp;$D285,ShiftKnowledge!$A$2:$A$9,ShiftKnowledge!$I$2:$I$9,""),IFERROR(INDEX(ShiftKnowledge!$I$2:$I$9,MATCH($B285&amp;"|"&amp;$D285,ShiftKnowledge!$A$2:$A$9,0)),"")))</f>
        <v/>
      </c>
      <c r="M285" s="4" t="inlineStr"/>
    </row>
    <row r="286" ht="20" customHeight="1">
      <c r="A286" s="6" t="inlineStr">
        <is>
          <t>15/11/2025</t>
        </is>
      </c>
      <c r="B286" s="6" t="inlineStr">
        <is>
          <t>Gynaecology</t>
        </is>
      </c>
      <c r="C286" s="7" t="inlineStr">
        <is>
          <t>Dr. Hawwa Inaya</t>
        </is>
      </c>
      <c r="D286" s="6" t="inlineStr"/>
      <c r="E286" s="6">
        <f>IF($D286="Custom","",IFERROR(XLOOKUP($B286&amp;"|"&amp;$D286,ShiftKnowledge!$A$2:$A$9,ShiftKnowledge!$D$2:$D$9,""),IFERROR(INDEX(ShiftKnowledge!$D$2:$D$9,MATCH($B286&amp;"|"&amp;$D286,ShiftKnowledge!$A$2:$A$9,0)),"")))</f>
        <v/>
      </c>
      <c r="F286" s="6" t="inlineStr"/>
      <c r="G286" s="6">
        <f>IF(AND($I286="",$L286=""),"",IFERROR(VALUE($I286),0)+IFERROR(VALUE($L286),0))</f>
        <v/>
      </c>
      <c r="H286" s="6">
        <f>IF($D286="Custom","",IFERROR(XLOOKUP($B286&amp;"|"&amp;$D286,ShiftKnowledge!$A$2:$A$9,ShiftKnowledge!$E$2:$E$9,""),IFERROR(INDEX(ShiftKnowledge!$E$2:$E$9,MATCH($B286&amp;"|"&amp;$D286,ShiftKnowledge!$A$2:$A$9,0)),"")))</f>
        <v/>
      </c>
      <c r="I286" s="6">
        <f>IF($D286="Custom","",IFERROR(XLOOKUP($B286&amp;"|"&amp;$D286,ShiftKnowledge!$A$2:$A$9,ShiftKnowledge!$F$2:$F$9,""),IFERROR(INDEX(ShiftKnowledge!$F$2:$F$9,MATCH($B286&amp;"|"&amp;$D286,ShiftKnowledge!$A$2:$A$9,0)),"")))</f>
        <v/>
      </c>
      <c r="J286" s="6">
        <f>IF($D286="Custom","",IFERROR(XLOOKUP($B286&amp;"|"&amp;$D286,ShiftKnowledge!$A$2:$A$9,ShiftKnowledge!$G$2:$G$9,""),IFERROR(INDEX(ShiftKnowledge!$G$2:$G$9,MATCH($B286&amp;"|"&amp;$D286,ShiftKnowledge!$A$2:$A$9,0)),"")))</f>
        <v/>
      </c>
      <c r="K286" s="6">
        <f>IF($D286="Custom","",IFERROR(XLOOKUP($B286&amp;"|"&amp;$D286,ShiftKnowledge!$A$2:$A$9,ShiftKnowledge!$H$2:$H$9,""),IFERROR(INDEX(ShiftKnowledge!$H$2:$H$9,MATCH($B286&amp;"|"&amp;$D286,ShiftKnowledge!$A$2:$A$9,0)),"")))</f>
        <v/>
      </c>
      <c r="L286" s="6">
        <f>IF($D286="Custom","",IFERROR(XLOOKUP($B286&amp;"|"&amp;$D286,ShiftKnowledge!$A$2:$A$9,ShiftKnowledge!$I$2:$I$9,""),IFERROR(INDEX(ShiftKnowledge!$I$2:$I$9,MATCH($B286&amp;"|"&amp;$D286,ShiftKnowledge!$A$2:$A$9,0)),"")))</f>
        <v/>
      </c>
      <c r="M286" s="6" t="inlineStr"/>
    </row>
    <row r="287" ht="20" customHeight="1">
      <c r="A287" s="4" t="inlineStr">
        <is>
          <t>15/11/2025</t>
        </is>
      </c>
      <c r="B287" s="4" t="inlineStr">
        <is>
          <t>Gynaecology</t>
        </is>
      </c>
      <c r="C287" s="5" t="inlineStr">
        <is>
          <t>Dr. Joshila Chanu Yumnam Bhattarai</t>
        </is>
      </c>
      <c r="D287" s="4" t="inlineStr"/>
      <c r="E287" s="4">
        <f>IF($D287="Custom","",IFERROR(XLOOKUP($B287&amp;"|"&amp;$D287,ShiftKnowledge!$A$2:$A$9,ShiftKnowledge!$D$2:$D$9,""),IFERROR(INDEX(ShiftKnowledge!$D$2:$D$9,MATCH($B287&amp;"|"&amp;$D287,ShiftKnowledge!$A$2:$A$9,0)),"")))</f>
        <v/>
      </c>
      <c r="F287" s="4" t="inlineStr"/>
      <c r="G287" s="4">
        <f>IF(AND($I287="",$L287=""),"",IFERROR(VALUE($I287),0)+IFERROR(VALUE($L287),0))</f>
        <v/>
      </c>
      <c r="H287" s="4">
        <f>IF($D287="Custom","",IFERROR(XLOOKUP($B287&amp;"|"&amp;$D287,ShiftKnowledge!$A$2:$A$9,ShiftKnowledge!$E$2:$E$9,""),IFERROR(INDEX(ShiftKnowledge!$E$2:$E$9,MATCH($B287&amp;"|"&amp;$D287,ShiftKnowledge!$A$2:$A$9,0)),"")))</f>
        <v/>
      </c>
      <c r="I287" s="4">
        <f>IF($D287="Custom","",IFERROR(XLOOKUP($B287&amp;"|"&amp;$D287,ShiftKnowledge!$A$2:$A$9,ShiftKnowledge!$F$2:$F$9,""),IFERROR(INDEX(ShiftKnowledge!$F$2:$F$9,MATCH($B287&amp;"|"&amp;$D287,ShiftKnowledge!$A$2:$A$9,0)),"")))</f>
        <v/>
      </c>
      <c r="J287" s="4">
        <f>IF($D287="Custom","",IFERROR(XLOOKUP($B287&amp;"|"&amp;$D287,ShiftKnowledge!$A$2:$A$9,ShiftKnowledge!$G$2:$G$9,""),IFERROR(INDEX(ShiftKnowledge!$G$2:$G$9,MATCH($B287&amp;"|"&amp;$D287,ShiftKnowledge!$A$2:$A$9,0)),"")))</f>
        <v/>
      </c>
      <c r="K287" s="4">
        <f>IF($D287="Custom","",IFERROR(XLOOKUP($B287&amp;"|"&amp;$D287,ShiftKnowledge!$A$2:$A$9,ShiftKnowledge!$H$2:$H$9,""),IFERROR(INDEX(ShiftKnowledge!$H$2:$H$9,MATCH($B287&amp;"|"&amp;$D287,ShiftKnowledge!$A$2:$A$9,0)),"")))</f>
        <v/>
      </c>
      <c r="L287" s="4">
        <f>IF($D287="Custom","",IFERROR(XLOOKUP($B287&amp;"|"&amp;$D287,ShiftKnowledge!$A$2:$A$9,ShiftKnowledge!$I$2:$I$9,""),IFERROR(INDEX(ShiftKnowledge!$I$2:$I$9,MATCH($B287&amp;"|"&amp;$D287,ShiftKnowledge!$A$2:$A$9,0)),"")))</f>
        <v/>
      </c>
      <c r="M287" s="4" t="inlineStr"/>
    </row>
    <row r="288" ht="20" customHeight="1">
      <c r="A288" s="6" t="inlineStr">
        <is>
          <t>15/11/2025</t>
        </is>
      </c>
      <c r="B288" s="6" t="inlineStr">
        <is>
          <t>Gynaecology</t>
        </is>
      </c>
      <c r="C288" s="7" t="inlineStr">
        <is>
          <t>Dr. Jumailath Beygum</t>
        </is>
      </c>
      <c r="D288" s="6" t="inlineStr"/>
      <c r="E288" s="6">
        <f>IF($D288="Custom","",IFERROR(XLOOKUP($B288&amp;"|"&amp;$D288,ShiftKnowledge!$A$2:$A$9,ShiftKnowledge!$D$2:$D$9,""),IFERROR(INDEX(ShiftKnowledge!$D$2:$D$9,MATCH($B288&amp;"|"&amp;$D288,ShiftKnowledge!$A$2:$A$9,0)),"")))</f>
        <v/>
      </c>
      <c r="F288" s="6" t="inlineStr"/>
      <c r="G288" s="6">
        <f>IF(AND($I288="",$L288=""),"",IFERROR(VALUE($I288),0)+IFERROR(VALUE($L288),0))</f>
        <v/>
      </c>
      <c r="H288" s="6">
        <f>IF($D288="Custom","",IFERROR(XLOOKUP($B288&amp;"|"&amp;$D288,ShiftKnowledge!$A$2:$A$9,ShiftKnowledge!$E$2:$E$9,""),IFERROR(INDEX(ShiftKnowledge!$E$2:$E$9,MATCH($B288&amp;"|"&amp;$D288,ShiftKnowledge!$A$2:$A$9,0)),"")))</f>
        <v/>
      </c>
      <c r="I288" s="6">
        <f>IF($D288="Custom","",IFERROR(XLOOKUP($B288&amp;"|"&amp;$D288,ShiftKnowledge!$A$2:$A$9,ShiftKnowledge!$F$2:$F$9,""),IFERROR(INDEX(ShiftKnowledge!$F$2:$F$9,MATCH($B288&amp;"|"&amp;$D288,ShiftKnowledge!$A$2:$A$9,0)),"")))</f>
        <v/>
      </c>
      <c r="J288" s="6">
        <f>IF($D288="Custom","",IFERROR(XLOOKUP($B288&amp;"|"&amp;$D288,ShiftKnowledge!$A$2:$A$9,ShiftKnowledge!$G$2:$G$9,""),IFERROR(INDEX(ShiftKnowledge!$G$2:$G$9,MATCH($B288&amp;"|"&amp;$D288,ShiftKnowledge!$A$2:$A$9,0)),"")))</f>
        <v/>
      </c>
      <c r="K288" s="6">
        <f>IF($D288="Custom","",IFERROR(XLOOKUP($B288&amp;"|"&amp;$D288,ShiftKnowledge!$A$2:$A$9,ShiftKnowledge!$H$2:$H$9,""),IFERROR(INDEX(ShiftKnowledge!$H$2:$H$9,MATCH($B288&amp;"|"&amp;$D288,ShiftKnowledge!$A$2:$A$9,0)),"")))</f>
        <v/>
      </c>
      <c r="L288" s="6">
        <f>IF($D288="Custom","",IFERROR(XLOOKUP($B288&amp;"|"&amp;$D288,ShiftKnowledge!$A$2:$A$9,ShiftKnowledge!$I$2:$I$9,""),IFERROR(INDEX(ShiftKnowledge!$I$2:$I$9,MATCH($B288&amp;"|"&amp;$D288,ShiftKnowledge!$A$2:$A$9,0)),"")))</f>
        <v/>
      </c>
      <c r="M288" s="6" t="inlineStr"/>
    </row>
    <row r="289" ht="20" customHeight="1">
      <c r="A289" s="4" t="inlineStr">
        <is>
          <t>15/11/2025</t>
        </is>
      </c>
      <c r="B289" s="4" t="inlineStr">
        <is>
          <t>General Surgery</t>
        </is>
      </c>
      <c r="C289" s="5" t="inlineStr">
        <is>
          <t>Dr. Khine Su Kyi</t>
        </is>
      </c>
      <c r="D289" s="4" t="inlineStr"/>
      <c r="E289" s="4">
        <f>IF($D289="Custom","",IFERROR(XLOOKUP($B289&amp;"|"&amp;$D289,ShiftKnowledge!$A$2:$A$9,ShiftKnowledge!$D$2:$D$9,""),IFERROR(INDEX(ShiftKnowledge!$D$2:$D$9,MATCH($B289&amp;"|"&amp;$D289,ShiftKnowledge!$A$2:$A$9,0)),"")))</f>
        <v/>
      </c>
      <c r="F289" s="4" t="inlineStr"/>
      <c r="G289" s="4">
        <f>IF(AND($I289="",$L289=""),"",IFERROR(VALUE($I289),0)+IFERROR(VALUE($L289),0))</f>
        <v/>
      </c>
      <c r="H289" s="4">
        <f>IF($D289="Custom","",IFERROR(XLOOKUP($B289&amp;"|"&amp;$D289,ShiftKnowledge!$A$2:$A$9,ShiftKnowledge!$E$2:$E$9,""),IFERROR(INDEX(ShiftKnowledge!$E$2:$E$9,MATCH($B289&amp;"|"&amp;$D289,ShiftKnowledge!$A$2:$A$9,0)),"")))</f>
        <v/>
      </c>
      <c r="I289" s="4">
        <f>IF($D289="Custom","",IFERROR(XLOOKUP($B289&amp;"|"&amp;$D289,ShiftKnowledge!$A$2:$A$9,ShiftKnowledge!$F$2:$F$9,""),IFERROR(INDEX(ShiftKnowledge!$F$2:$F$9,MATCH($B289&amp;"|"&amp;$D289,ShiftKnowledge!$A$2:$A$9,0)),"")))</f>
        <v/>
      </c>
      <c r="J289" s="4">
        <f>IF($D289="Custom","",IFERROR(XLOOKUP($B289&amp;"|"&amp;$D289,ShiftKnowledge!$A$2:$A$9,ShiftKnowledge!$G$2:$G$9,""),IFERROR(INDEX(ShiftKnowledge!$G$2:$G$9,MATCH($B289&amp;"|"&amp;$D289,ShiftKnowledge!$A$2:$A$9,0)),"")))</f>
        <v/>
      </c>
      <c r="K289" s="4">
        <f>IF($D289="Custom","",IFERROR(XLOOKUP($B289&amp;"|"&amp;$D289,ShiftKnowledge!$A$2:$A$9,ShiftKnowledge!$H$2:$H$9,""),IFERROR(INDEX(ShiftKnowledge!$H$2:$H$9,MATCH($B289&amp;"|"&amp;$D289,ShiftKnowledge!$A$2:$A$9,0)),"")))</f>
        <v/>
      </c>
      <c r="L289" s="4">
        <f>IF($D289="Custom","",IFERROR(XLOOKUP($B289&amp;"|"&amp;$D289,ShiftKnowledge!$A$2:$A$9,ShiftKnowledge!$I$2:$I$9,""),IFERROR(INDEX(ShiftKnowledge!$I$2:$I$9,MATCH($B289&amp;"|"&amp;$D289,ShiftKnowledge!$A$2:$A$9,0)),"")))</f>
        <v/>
      </c>
      <c r="M289" s="4" t="inlineStr"/>
    </row>
    <row r="290" ht="20" customHeight="1">
      <c r="A290" s="6" t="inlineStr">
        <is>
          <t>15/11/2025</t>
        </is>
      </c>
      <c r="B290" s="6" t="inlineStr">
        <is>
          <t>Dental</t>
        </is>
      </c>
      <c r="C290" s="7" t="inlineStr">
        <is>
          <t>Dr. Mariyam Afza Zuhair</t>
        </is>
      </c>
      <c r="D290" s="6" t="inlineStr"/>
      <c r="E290" s="6">
        <f>IF($D290="Custom","",IFERROR(XLOOKUP($B290&amp;"|"&amp;$D290,ShiftKnowledge!$A$2:$A$9,ShiftKnowledge!$D$2:$D$9,""),IFERROR(INDEX(ShiftKnowledge!$D$2:$D$9,MATCH($B290&amp;"|"&amp;$D290,ShiftKnowledge!$A$2:$A$9,0)),"")))</f>
        <v/>
      </c>
      <c r="F290" s="6" t="inlineStr"/>
      <c r="G290" s="6">
        <f>IF(AND($I290="",$L290=""),"",IFERROR(VALUE($I290),0)+IFERROR(VALUE($L290),0))</f>
        <v/>
      </c>
      <c r="H290" s="6">
        <f>IF($D290="Custom","",IFERROR(XLOOKUP($B290&amp;"|"&amp;$D290,ShiftKnowledge!$A$2:$A$9,ShiftKnowledge!$E$2:$E$9,""),IFERROR(INDEX(ShiftKnowledge!$E$2:$E$9,MATCH($B290&amp;"|"&amp;$D290,ShiftKnowledge!$A$2:$A$9,0)),"")))</f>
        <v/>
      </c>
      <c r="I290" s="6">
        <f>IF($D290="Custom","",IFERROR(XLOOKUP($B290&amp;"|"&amp;$D290,ShiftKnowledge!$A$2:$A$9,ShiftKnowledge!$F$2:$F$9,""),IFERROR(INDEX(ShiftKnowledge!$F$2:$F$9,MATCH($B290&amp;"|"&amp;$D290,ShiftKnowledge!$A$2:$A$9,0)),"")))</f>
        <v/>
      </c>
      <c r="J290" s="6">
        <f>IF($D290="Custom","",IFERROR(XLOOKUP($B290&amp;"|"&amp;$D290,ShiftKnowledge!$A$2:$A$9,ShiftKnowledge!$G$2:$G$9,""),IFERROR(INDEX(ShiftKnowledge!$G$2:$G$9,MATCH($B290&amp;"|"&amp;$D290,ShiftKnowledge!$A$2:$A$9,0)),"")))</f>
        <v/>
      </c>
      <c r="K290" s="6">
        <f>IF($D290="Custom","",IFERROR(XLOOKUP($B290&amp;"|"&amp;$D290,ShiftKnowledge!$A$2:$A$9,ShiftKnowledge!$H$2:$H$9,""),IFERROR(INDEX(ShiftKnowledge!$H$2:$H$9,MATCH($B290&amp;"|"&amp;$D290,ShiftKnowledge!$A$2:$A$9,0)),"")))</f>
        <v/>
      </c>
      <c r="L290" s="6">
        <f>IF($D290="Custom","",IFERROR(XLOOKUP($B290&amp;"|"&amp;$D290,ShiftKnowledge!$A$2:$A$9,ShiftKnowledge!$I$2:$I$9,""),IFERROR(INDEX(ShiftKnowledge!$I$2:$I$9,MATCH($B290&amp;"|"&amp;$D290,ShiftKnowledge!$A$2:$A$9,0)),"")))</f>
        <v/>
      </c>
      <c r="M290" s="6" t="inlineStr"/>
    </row>
    <row r="291" ht="20" customHeight="1">
      <c r="A291" s="4" t="inlineStr">
        <is>
          <t>15/11/2025</t>
        </is>
      </c>
      <c r="B291" s="4" t="inlineStr">
        <is>
          <t>Psychiatry</t>
        </is>
      </c>
      <c r="C291" s="5" t="inlineStr">
        <is>
          <t>Dr. Maumoon Shareef</t>
        </is>
      </c>
      <c r="D291" s="4" t="inlineStr"/>
      <c r="E291" s="4">
        <f>IF($D291="Custom","",IFERROR(XLOOKUP($B291&amp;"|"&amp;$D291,ShiftKnowledge!$A$2:$A$9,ShiftKnowledge!$D$2:$D$9,""),IFERROR(INDEX(ShiftKnowledge!$D$2:$D$9,MATCH($B291&amp;"|"&amp;$D291,ShiftKnowledge!$A$2:$A$9,0)),"")))</f>
        <v/>
      </c>
      <c r="F291" s="4" t="inlineStr"/>
      <c r="G291" s="4">
        <f>IF(AND($I291="",$L291=""),"",IFERROR(VALUE($I291),0)+IFERROR(VALUE($L291),0))</f>
        <v/>
      </c>
      <c r="H291" s="4">
        <f>IF($D291="Custom","",IFERROR(XLOOKUP($B291&amp;"|"&amp;$D291,ShiftKnowledge!$A$2:$A$9,ShiftKnowledge!$E$2:$E$9,""),IFERROR(INDEX(ShiftKnowledge!$E$2:$E$9,MATCH($B291&amp;"|"&amp;$D291,ShiftKnowledge!$A$2:$A$9,0)),"")))</f>
        <v/>
      </c>
      <c r="I291" s="4">
        <f>IF($D291="Custom","",IFERROR(XLOOKUP($B291&amp;"|"&amp;$D291,ShiftKnowledge!$A$2:$A$9,ShiftKnowledge!$F$2:$F$9,""),IFERROR(INDEX(ShiftKnowledge!$F$2:$F$9,MATCH($B291&amp;"|"&amp;$D291,ShiftKnowledge!$A$2:$A$9,0)),"")))</f>
        <v/>
      </c>
      <c r="J291" s="4">
        <f>IF($D291="Custom","",IFERROR(XLOOKUP($B291&amp;"|"&amp;$D291,ShiftKnowledge!$A$2:$A$9,ShiftKnowledge!$G$2:$G$9,""),IFERROR(INDEX(ShiftKnowledge!$G$2:$G$9,MATCH($B291&amp;"|"&amp;$D291,ShiftKnowledge!$A$2:$A$9,0)),"")))</f>
        <v/>
      </c>
      <c r="K291" s="4">
        <f>IF($D291="Custom","",IFERROR(XLOOKUP($B291&amp;"|"&amp;$D291,ShiftKnowledge!$A$2:$A$9,ShiftKnowledge!$H$2:$H$9,""),IFERROR(INDEX(ShiftKnowledge!$H$2:$H$9,MATCH($B291&amp;"|"&amp;$D291,ShiftKnowledge!$A$2:$A$9,0)),"")))</f>
        <v/>
      </c>
      <c r="L291" s="4">
        <f>IF($D291="Custom","",IFERROR(XLOOKUP($B291&amp;"|"&amp;$D291,ShiftKnowledge!$A$2:$A$9,ShiftKnowledge!$I$2:$I$9,""),IFERROR(INDEX(ShiftKnowledge!$I$2:$I$9,MATCH($B291&amp;"|"&amp;$D291,ShiftKnowledge!$A$2:$A$9,0)),"")))</f>
        <v/>
      </c>
      <c r="M291" s="4" t="inlineStr"/>
    </row>
    <row r="292" ht="20" customHeight="1">
      <c r="A292" s="6" t="inlineStr">
        <is>
          <t>15/11/2025</t>
        </is>
      </c>
      <c r="B292" s="6" t="inlineStr">
        <is>
          <t>Internal Medicine</t>
        </is>
      </c>
      <c r="C292" s="7" t="inlineStr">
        <is>
          <t>Dr. Mihuna Ibrahim</t>
        </is>
      </c>
      <c r="D292" s="6" t="inlineStr"/>
      <c r="E292" s="6">
        <f>IF($D292="Custom","",IFERROR(XLOOKUP($B292&amp;"|"&amp;$D292,ShiftKnowledge!$A$2:$A$9,ShiftKnowledge!$D$2:$D$9,""),IFERROR(INDEX(ShiftKnowledge!$D$2:$D$9,MATCH($B292&amp;"|"&amp;$D292,ShiftKnowledge!$A$2:$A$9,0)),"")))</f>
        <v/>
      </c>
      <c r="F292" s="6" t="inlineStr"/>
      <c r="G292" s="6">
        <f>IF(AND($I292="",$L292=""),"",IFERROR(VALUE($I292),0)+IFERROR(VALUE($L292),0))</f>
        <v/>
      </c>
      <c r="H292" s="6">
        <f>IF($D292="Custom","",IFERROR(XLOOKUP($B292&amp;"|"&amp;$D292,ShiftKnowledge!$A$2:$A$9,ShiftKnowledge!$E$2:$E$9,""),IFERROR(INDEX(ShiftKnowledge!$E$2:$E$9,MATCH($B292&amp;"|"&amp;$D292,ShiftKnowledge!$A$2:$A$9,0)),"")))</f>
        <v/>
      </c>
      <c r="I292" s="6">
        <f>IF($D292="Custom","",IFERROR(XLOOKUP($B292&amp;"|"&amp;$D292,ShiftKnowledge!$A$2:$A$9,ShiftKnowledge!$F$2:$F$9,""),IFERROR(INDEX(ShiftKnowledge!$F$2:$F$9,MATCH($B292&amp;"|"&amp;$D292,ShiftKnowledge!$A$2:$A$9,0)),"")))</f>
        <v/>
      </c>
      <c r="J292" s="6">
        <f>IF($D292="Custom","",IFERROR(XLOOKUP($B292&amp;"|"&amp;$D292,ShiftKnowledge!$A$2:$A$9,ShiftKnowledge!$G$2:$G$9,""),IFERROR(INDEX(ShiftKnowledge!$G$2:$G$9,MATCH($B292&amp;"|"&amp;$D292,ShiftKnowledge!$A$2:$A$9,0)),"")))</f>
        <v/>
      </c>
      <c r="K292" s="6">
        <f>IF($D292="Custom","",IFERROR(XLOOKUP($B292&amp;"|"&amp;$D292,ShiftKnowledge!$A$2:$A$9,ShiftKnowledge!$H$2:$H$9,""),IFERROR(INDEX(ShiftKnowledge!$H$2:$H$9,MATCH($B292&amp;"|"&amp;$D292,ShiftKnowledge!$A$2:$A$9,0)),"")))</f>
        <v/>
      </c>
      <c r="L292" s="6">
        <f>IF($D292="Custom","",IFERROR(XLOOKUP($B292&amp;"|"&amp;$D292,ShiftKnowledge!$A$2:$A$9,ShiftKnowledge!$I$2:$I$9,""),IFERROR(INDEX(ShiftKnowledge!$I$2:$I$9,MATCH($B292&amp;"|"&amp;$D292,ShiftKnowledge!$A$2:$A$9,0)),"")))</f>
        <v/>
      </c>
      <c r="M292" s="6" t="inlineStr"/>
    </row>
    <row r="293" ht="20" customHeight="1">
      <c r="A293" s="4" t="inlineStr">
        <is>
          <t>15/11/2025</t>
        </is>
      </c>
      <c r="B293" s="4" t="inlineStr">
        <is>
          <t>Endocrinology</t>
        </is>
      </c>
      <c r="C293" s="5" t="inlineStr">
        <is>
          <t>Dr. Mohamed Wisham</t>
        </is>
      </c>
      <c r="D293" s="4" t="inlineStr"/>
      <c r="E293" s="4">
        <f>IF($D293="Custom","",IFERROR(XLOOKUP($B293&amp;"|"&amp;$D293,ShiftKnowledge!$A$2:$A$9,ShiftKnowledge!$D$2:$D$9,""),IFERROR(INDEX(ShiftKnowledge!$D$2:$D$9,MATCH($B293&amp;"|"&amp;$D293,ShiftKnowledge!$A$2:$A$9,0)),"")))</f>
        <v/>
      </c>
      <c r="F293" s="4" t="inlineStr"/>
      <c r="G293" s="4">
        <f>IF(AND($I293="",$L293=""),"",IFERROR(VALUE($I293),0)+IFERROR(VALUE($L293),0))</f>
        <v/>
      </c>
      <c r="H293" s="4">
        <f>IF($D293="Custom","",IFERROR(XLOOKUP($B293&amp;"|"&amp;$D293,ShiftKnowledge!$A$2:$A$9,ShiftKnowledge!$E$2:$E$9,""),IFERROR(INDEX(ShiftKnowledge!$E$2:$E$9,MATCH($B293&amp;"|"&amp;$D293,ShiftKnowledge!$A$2:$A$9,0)),"")))</f>
        <v/>
      </c>
      <c r="I293" s="4">
        <f>IF($D293="Custom","",IFERROR(XLOOKUP($B293&amp;"|"&amp;$D293,ShiftKnowledge!$A$2:$A$9,ShiftKnowledge!$F$2:$F$9,""),IFERROR(INDEX(ShiftKnowledge!$F$2:$F$9,MATCH($B293&amp;"|"&amp;$D293,ShiftKnowledge!$A$2:$A$9,0)),"")))</f>
        <v/>
      </c>
      <c r="J293" s="4">
        <f>IF($D293="Custom","",IFERROR(XLOOKUP($B293&amp;"|"&amp;$D293,ShiftKnowledge!$A$2:$A$9,ShiftKnowledge!$G$2:$G$9,""),IFERROR(INDEX(ShiftKnowledge!$G$2:$G$9,MATCH($B293&amp;"|"&amp;$D293,ShiftKnowledge!$A$2:$A$9,0)),"")))</f>
        <v/>
      </c>
      <c r="K293" s="4">
        <f>IF($D293="Custom","",IFERROR(XLOOKUP($B293&amp;"|"&amp;$D293,ShiftKnowledge!$A$2:$A$9,ShiftKnowledge!$H$2:$H$9,""),IFERROR(INDEX(ShiftKnowledge!$H$2:$H$9,MATCH($B293&amp;"|"&amp;$D293,ShiftKnowledge!$A$2:$A$9,0)),"")))</f>
        <v/>
      </c>
      <c r="L293" s="4">
        <f>IF($D293="Custom","",IFERROR(XLOOKUP($B293&amp;"|"&amp;$D293,ShiftKnowledge!$A$2:$A$9,ShiftKnowledge!$I$2:$I$9,""),IFERROR(INDEX(ShiftKnowledge!$I$2:$I$9,MATCH($B293&amp;"|"&amp;$D293,ShiftKnowledge!$A$2:$A$9,0)),"")))</f>
        <v/>
      </c>
      <c r="M293" s="4" t="inlineStr"/>
    </row>
    <row r="294" ht="20" customHeight="1">
      <c r="A294" s="6" t="inlineStr">
        <is>
          <t>15/11/2025</t>
        </is>
      </c>
      <c r="B294" s="6" t="inlineStr">
        <is>
          <t>Cardiology</t>
        </is>
      </c>
      <c r="C294" s="7" t="inlineStr">
        <is>
          <t>Dr. Moosa Manik</t>
        </is>
      </c>
      <c r="D294" s="6" t="inlineStr"/>
      <c r="E294" s="6">
        <f>IF($D294="Custom","",IFERROR(XLOOKUP($B294&amp;"|"&amp;$D294,ShiftKnowledge!$A$2:$A$9,ShiftKnowledge!$D$2:$D$9,""),IFERROR(INDEX(ShiftKnowledge!$D$2:$D$9,MATCH($B294&amp;"|"&amp;$D294,ShiftKnowledge!$A$2:$A$9,0)),"")))</f>
        <v/>
      </c>
      <c r="F294" s="6" t="inlineStr"/>
      <c r="G294" s="6">
        <f>IF(AND($I294="",$L294=""),"",IFERROR(VALUE($I294),0)+IFERROR(VALUE($L294),0))</f>
        <v/>
      </c>
      <c r="H294" s="6">
        <f>IF($D294="Custom","",IFERROR(XLOOKUP($B294&amp;"|"&amp;$D294,ShiftKnowledge!$A$2:$A$9,ShiftKnowledge!$E$2:$E$9,""),IFERROR(INDEX(ShiftKnowledge!$E$2:$E$9,MATCH($B294&amp;"|"&amp;$D294,ShiftKnowledge!$A$2:$A$9,0)),"")))</f>
        <v/>
      </c>
      <c r="I294" s="6">
        <f>IF($D294="Custom","",IFERROR(XLOOKUP($B294&amp;"|"&amp;$D294,ShiftKnowledge!$A$2:$A$9,ShiftKnowledge!$F$2:$F$9,""),IFERROR(INDEX(ShiftKnowledge!$F$2:$F$9,MATCH($B294&amp;"|"&amp;$D294,ShiftKnowledge!$A$2:$A$9,0)),"")))</f>
        <v/>
      </c>
      <c r="J294" s="6">
        <f>IF($D294="Custom","",IFERROR(XLOOKUP($B294&amp;"|"&amp;$D294,ShiftKnowledge!$A$2:$A$9,ShiftKnowledge!$G$2:$G$9,""),IFERROR(INDEX(ShiftKnowledge!$G$2:$G$9,MATCH($B294&amp;"|"&amp;$D294,ShiftKnowledge!$A$2:$A$9,0)),"")))</f>
        <v/>
      </c>
      <c r="K294" s="6">
        <f>IF($D294="Custom","",IFERROR(XLOOKUP($B294&amp;"|"&amp;$D294,ShiftKnowledge!$A$2:$A$9,ShiftKnowledge!$H$2:$H$9,""),IFERROR(INDEX(ShiftKnowledge!$H$2:$H$9,MATCH($B294&amp;"|"&amp;$D294,ShiftKnowledge!$A$2:$A$9,0)),"")))</f>
        <v/>
      </c>
      <c r="L294" s="6">
        <f>IF($D294="Custom","",IFERROR(XLOOKUP($B294&amp;"|"&amp;$D294,ShiftKnowledge!$A$2:$A$9,ShiftKnowledge!$I$2:$I$9,""),IFERROR(INDEX(ShiftKnowledge!$I$2:$I$9,MATCH($B294&amp;"|"&amp;$D294,ShiftKnowledge!$A$2:$A$9,0)),"")))</f>
        <v/>
      </c>
      <c r="M294" s="6" t="inlineStr"/>
    </row>
    <row r="295" ht="20" customHeight="1">
      <c r="A295" s="4" t="inlineStr">
        <is>
          <t>15/11/2025</t>
        </is>
      </c>
      <c r="B295" s="4" t="inlineStr">
        <is>
          <t>Nephrology</t>
        </is>
      </c>
      <c r="C295" s="5" t="inlineStr">
        <is>
          <t>Dr. Muhammad Mujtaba Ur Rehman</t>
        </is>
      </c>
      <c r="D295" s="4" t="inlineStr"/>
      <c r="E295" s="4">
        <f>IF($D295="Custom","",IFERROR(XLOOKUP($B295&amp;"|"&amp;$D295,ShiftKnowledge!$A$2:$A$9,ShiftKnowledge!$D$2:$D$9,""),IFERROR(INDEX(ShiftKnowledge!$D$2:$D$9,MATCH($B295&amp;"|"&amp;$D295,ShiftKnowledge!$A$2:$A$9,0)),"")))</f>
        <v/>
      </c>
      <c r="F295" s="4" t="inlineStr"/>
      <c r="G295" s="4">
        <f>IF(AND($I295="",$L295=""),"",IFERROR(VALUE($I295),0)+IFERROR(VALUE($L295),0))</f>
        <v/>
      </c>
      <c r="H295" s="4">
        <f>IF($D295="Custom","",IFERROR(XLOOKUP($B295&amp;"|"&amp;$D295,ShiftKnowledge!$A$2:$A$9,ShiftKnowledge!$E$2:$E$9,""),IFERROR(INDEX(ShiftKnowledge!$E$2:$E$9,MATCH($B295&amp;"|"&amp;$D295,ShiftKnowledge!$A$2:$A$9,0)),"")))</f>
        <v/>
      </c>
      <c r="I295" s="4">
        <f>IF($D295="Custom","",IFERROR(XLOOKUP($B295&amp;"|"&amp;$D295,ShiftKnowledge!$A$2:$A$9,ShiftKnowledge!$F$2:$F$9,""),IFERROR(INDEX(ShiftKnowledge!$F$2:$F$9,MATCH($B295&amp;"|"&amp;$D295,ShiftKnowledge!$A$2:$A$9,0)),"")))</f>
        <v/>
      </c>
      <c r="J295" s="4">
        <f>IF($D295="Custom","",IFERROR(XLOOKUP($B295&amp;"|"&amp;$D295,ShiftKnowledge!$A$2:$A$9,ShiftKnowledge!$G$2:$G$9,""),IFERROR(INDEX(ShiftKnowledge!$G$2:$G$9,MATCH($B295&amp;"|"&amp;$D295,ShiftKnowledge!$A$2:$A$9,0)),"")))</f>
        <v/>
      </c>
      <c r="K295" s="4">
        <f>IF($D295="Custom","",IFERROR(XLOOKUP($B295&amp;"|"&amp;$D295,ShiftKnowledge!$A$2:$A$9,ShiftKnowledge!$H$2:$H$9,""),IFERROR(INDEX(ShiftKnowledge!$H$2:$H$9,MATCH($B295&amp;"|"&amp;$D295,ShiftKnowledge!$A$2:$A$9,0)),"")))</f>
        <v/>
      </c>
      <c r="L295" s="4">
        <f>IF($D295="Custom","",IFERROR(XLOOKUP($B295&amp;"|"&amp;$D295,ShiftKnowledge!$A$2:$A$9,ShiftKnowledge!$I$2:$I$9,""),IFERROR(INDEX(ShiftKnowledge!$I$2:$I$9,MATCH($B295&amp;"|"&amp;$D295,ShiftKnowledge!$A$2:$A$9,0)),"")))</f>
        <v/>
      </c>
      <c r="M295" s="4" t="inlineStr"/>
    </row>
    <row r="296" ht="20" customHeight="1">
      <c r="A296" s="6" t="inlineStr">
        <is>
          <t>15/11/2025</t>
        </is>
      </c>
      <c r="B296" s="6" t="inlineStr">
        <is>
          <t>Ophthalmology</t>
        </is>
      </c>
      <c r="C296" s="7" t="inlineStr">
        <is>
          <t>Dr. Nafeesa Abdul Latheef</t>
        </is>
      </c>
      <c r="D296" s="6" t="inlineStr"/>
      <c r="E296" s="6">
        <f>IF($D296="Custom","",IFERROR(XLOOKUP($B296&amp;"|"&amp;$D296,ShiftKnowledge!$A$2:$A$9,ShiftKnowledge!$D$2:$D$9,""),IFERROR(INDEX(ShiftKnowledge!$D$2:$D$9,MATCH($B296&amp;"|"&amp;$D296,ShiftKnowledge!$A$2:$A$9,0)),"")))</f>
        <v/>
      </c>
      <c r="F296" s="6" t="inlineStr"/>
      <c r="G296" s="6">
        <f>IF(AND($I296="",$L296=""),"",IFERROR(VALUE($I296),0)+IFERROR(VALUE($L296),0))</f>
        <v/>
      </c>
      <c r="H296" s="6">
        <f>IF($D296="Custom","",IFERROR(XLOOKUP($B296&amp;"|"&amp;$D296,ShiftKnowledge!$A$2:$A$9,ShiftKnowledge!$E$2:$E$9,""),IFERROR(INDEX(ShiftKnowledge!$E$2:$E$9,MATCH($B296&amp;"|"&amp;$D296,ShiftKnowledge!$A$2:$A$9,0)),"")))</f>
        <v/>
      </c>
      <c r="I296" s="6">
        <f>IF($D296="Custom","",IFERROR(XLOOKUP($B296&amp;"|"&amp;$D296,ShiftKnowledge!$A$2:$A$9,ShiftKnowledge!$F$2:$F$9,""),IFERROR(INDEX(ShiftKnowledge!$F$2:$F$9,MATCH($B296&amp;"|"&amp;$D296,ShiftKnowledge!$A$2:$A$9,0)),"")))</f>
        <v/>
      </c>
      <c r="J296" s="6">
        <f>IF($D296="Custom","",IFERROR(XLOOKUP($B296&amp;"|"&amp;$D296,ShiftKnowledge!$A$2:$A$9,ShiftKnowledge!$G$2:$G$9,""),IFERROR(INDEX(ShiftKnowledge!$G$2:$G$9,MATCH($B296&amp;"|"&amp;$D296,ShiftKnowledge!$A$2:$A$9,0)),"")))</f>
        <v/>
      </c>
      <c r="K296" s="6">
        <f>IF($D296="Custom","",IFERROR(XLOOKUP($B296&amp;"|"&amp;$D296,ShiftKnowledge!$A$2:$A$9,ShiftKnowledge!$H$2:$H$9,""),IFERROR(INDEX(ShiftKnowledge!$H$2:$H$9,MATCH($B296&amp;"|"&amp;$D296,ShiftKnowledge!$A$2:$A$9,0)),"")))</f>
        <v/>
      </c>
      <c r="L296" s="6">
        <f>IF($D296="Custom","",IFERROR(XLOOKUP($B296&amp;"|"&amp;$D296,ShiftKnowledge!$A$2:$A$9,ShiftKnowledge!$I$2:$I$9,""),IFERROR(INDEX(ShiftKnowledge!$I$2:$I$9,MATCH($B296&amp;"|"&amp;$D296,ShiftKnowledge!$A$2:$A$9,0)),"")))</f>
        <v/>
      </c>
      <c r="M296" s="6" t="inlineStr"/>
    </row>
    <row r="297" ht="20" customHeight="1">
      <c r="A297" s="4" t="inlineStr">
        <is>
          <t>15/11/2025</t>
        </is>
      </c>
      <c r="B297" s="4" t="inlineStr">
        <is>
          <t>ENT</t>
        </is>
      </c>
      <c r="C297" s="5" t="inlineStr">
        <is>
          <t>Dr. Nishesh Raj Shrestha</t>
        </is>
      </c>
      <c r="D297" s="4" t="inlineStr"/>
      <c r="E297" s="4">
        <f>IF($D297="Custom","",IFERROR(XLOOKUP($B297&amp;"|"&amp;$D297,ShiftKnowledge!$A$2:$A$9,ShiftKnowledge!$D$2:$D$9,""),IFERROR(INDEX(ShiftKnowledge!$D$2:$D$9,MATCH($B297&amp;"|"&amp;$D297,ShiftKnowledge!$A$2:$A$9,0)),"")))</f>
        <v/>
      </c>
      <c r="F297" s="4" t="inlineStr"/>
      <c r="G297" s="4">
        <f>IF(AND($I297="",$L297=""),"",IFERROR(VALUE($I297),0)+IFERROR(VALUE($L297),0))</f>
        <v/>
      </c>
      <c r="H297" s="4">
        <f>IF($D297="Custom","",IFERROR(XLOOKUP($B297&amp;"|"&amp;$D297,ShiftKnowledge!$A$2:$A$9,ShiftKnowledge!$E$2:$E$9,""),IFERROR(INDEX(ShiftKnowledge!$E$2:$E$9,MATCH($B297&amp;"|"&amp;$D297,ShiftKnowledge!$A$2:$A$9,0)),"")))</f>
        <v/>
      </c>
      <c r="I297" s="4">
        <f>IF($D297="Custom","",IFERROR(XLOOKUP($B297&amp;"|"&amp;$D297,ShiftKnowledge!$A$2:$A$9,ShiftKnowledge!$F$2:$F$9,""),IFERROR(INDEX(ShiftKnowledge!$F$2:$F$9,MATCH($B297&amp;"|"&amp;$D297,ShiftKnowledge!$A$2:$A$9,0)),"")))</f>
        <v/>
      </c>
      <c r="J297" s="4">
        <f>IF($D297="Custom","",IFERROR(XLOOKUP($B297&amp;"|"&amp;$D297,ShiftKnowledge!$A$2:$A$9,ShiftKnowledge!$G$2:$G$9,""),IFERROR(INDEX(ShiftKnowledge!$G$2:$G$9,MATCH($B297&amp;"|"&amp;$D297,ShiftKnowledge!$A$2:$A$9,0)),"")))</f>
        <v/>
      </c>
      <c r="K297" s="4">
        <f>IF($D297="Custom","",IFERROR(XLOOKUP($B297&amp;"|"&amp;$D297,ShiftKnowledge!$A$2:$A$9,ShiftKnowledge!$H$2:$H$9,""),IFERROR(INDEX(ShiftKnowledge!$H$2:$H$9,MATCH($B297&amp;"|"&amp;$D297,ShiftKnowledge!$A$2:$A$9,0)),"")))</f>
        <v/>
      </c>
      <c r="L297" s="4">
        <f>IF($D297="Custom","",IFERROR(XLOOKUP($B297&amp;"|"&amp;$D297,ShiftKnowledge!$A$2:$A$9,ShiftKnowledge!$I$2:$I$9,""),IFERROR(INDEX(ShiftKnowledge!$I$2:$I$9,MATCH($B297&amp;"|"&amp;$D297,ShiftKnowledge!$A$2:$A$9,0)),"")))</f>
        <v/>
      </c>
      <c r="M297" s="4" t="inlineStr"/>
    </row>
    <row r="298" ht="20" customHeight="1">
      <c r="A298" s="6" t="inlineStr">
        <is>
          <t>15/11/2025</t>
        </is>
      </c>
      <c r="B298" s="6" t="inlineStr">
        <is>
          <t>ENT</t>
        </is>
      </c>
      <c r="C298" s="7" t="inlineStr">
        <is>
          <t>Dr. Rachit Pokharel</t>
        </is>
      </c>
      <c r="D298" s="6" t="inlineStr"/>
      <c r="E298" s="6">
        <f>IF($D298="Custom","",IFERROR(XLOOKUP($B298&amp;"|"&amp;$D298,ShiftKnowledge!$A$2:$A$9,ShiftKnowledge!$D$2:$D$9,""),IFERROR(INDEX(ShiftKnowledge!$D$2:$D$9,MATCH($B298&amp;"|"&amp;$D298,ShiftKnowledge!$A$2:$A$9,0)),"")))</f>
        <v/>
      </c>
      <c r="F298" s="6" t="inlineStr"/>
      <c r="G298" s="6">
        <f>IF(AND($I298="",$L298=""),"",IFERROR(VALUE($I298),0)+IFERROR(VALUE($L298),0))</f>
        <v/>
      </c>
      <c r="H298" s="6">
        <f>IF($D298="Custom","",IFERROR(XLOOKUP($B298&amp;"|"&amp;$D298,ShiftKnowledge!$A$2:$A$9,ShiftKnowledge!$E$2:$E$9,""),IFERROR(INDEX(ShiftKnowledge!$E$2:$E$9,MATCH($B298&amp;"|"&amp;$D298,ShiftKnowledge!$A$2:$A$9,0)),"")))</f>
        <v/>
      </c>
      <c r="I298" s="6">
        <f>IF($D298="Custom","",IFERROR(XLOOKUP($B298&amp;"|"&amp;$D298,ShiftKnowledge!$A$2:$A$9,ShiftKnowledge!$F$2:$F$9,""),IFERROR(INDEX(ShiftKnowledge!$F$2:$F$9,MATCH($B298&amp;"|"&amp;$D298,ShiftKnowledge!$A$2:$A$9,0)),"")))</f>
        <v/>
      </c>
      <c r="J298" s="6">
        <f>IF($D298="Custom","",IFERROR(XLOOKUP($B298&amp;"|"&amp;$D298,ShiftKnowledge!$A$2:$A$9,ShiftKnowledge!$G$2:$G$9,""),IFERROR(INDEX(ShiftKnowledge!$G$2:$G$9,MATCH($B298&amp;"|"&amp;$D298,ShiftKnowledge!$A$2:$A$9,0)),"")))</f>
        <v/>
      </c>
      <c r="K298" s="6">
        <f>IF($D298="Custom","",IFERROR(XLOOKUP($B298&amp;"|"&amp;$D298,ShiftKnowledge!$A$2:$A$9,ShiftKnowledge!$H$2:$H$9,""),IFERROR(INDEX(ShiftKnowledge!$H$2:$H$9,MATCH($B298&amp;"|"&amp;$D298,ShiftKnowledge!$A$2:$A$9,0)),"")))</f>
        <v/>
      </c>
      <c r="L298" s="6">
        <f>IF($D298="Custom","",IFERROR(XLOOKUP($B298&amp;"|"&amp;$D298,ShiftKnowledge!$A$2:$A$9,ShiftKnowledge!$I$2:$I$9,""),IFERROR(INDEX(ShiftKnowledge!$I$2:$I$9,MATCH($B298&amp;"|"&amp;$D298,ShiftKnowledge!$A$2:$A$9,0)),"")))</f>
        <v/>
      </c>
      <c r="M298" s="6" t="inlineStr"/>
    </row>
    <row r="299" ht="20" customHeight="1">
      <c r="A299" s="4" t="inlineStr">
        <is>
          <t>15/11/2025</t>
        </is>
      </c>
      <c r="B299" s="4" t="inlineStr">
        <is>
          <t>Ophthalmology</t>
        </is>
      </c>
      <c r="C299" s="5" t="inlineStr">
        <is>
          <t>Dr. Remon Girgis Lamee Girgis</t>
        </is>
      </c>
      <c r="D299" s="4" t="inlineStr"/>
      <c r="E299" s="4">
        <f>IF($D299="Custom","",IFERROR(XLOOKUP($B299&amp;"|"&amp;$D299,ShiftKnowledge!$A$2:$A$9,ShiftKnowledge!$D$2:$D$9,""),IFERROR(INDEX(ShiftKnowledge!$D$2:$D$9,MATCH($B299&amp;"|"&amp;$D299,ShiftKnowledge!$A$2:$A$9,0)),"")))</f>
        <v/>
      </c>
      <c r="F299" s="4" t="inlineStr"/>
      <c r="G299" s="4">
        <f>IF(AND($I299="",$L299=""),"",IFERROR(VALUE($I299),0)+IFERROR(VALUE($L299),0))</f>
        <v/>
      </c>
      <c r="H299" s="4">
        <f>IF($D299="Custom","",IFERROR(XLOOKUP($B299&amp;"|"&amp;$D299,ShiftKnowledge!$A$2:$A$9,ShiftKnowledge!$E$2:$E$9,""),IFERROR(INDEX(ShiftKnowledge!$E$2:$E$9,MATCH($B299&amp;"|"&amp;$D299,ShiftKnowledge!$A$2:$A$9,0)),"")))</f>
        <v/>
      </c>
      <c r="I299" s="4">
        <f>IF($D299="Custom","",IFERROR(XLOOKUP($B299&amp;"|"&amp;$D299,ShiftKnowledge!$A$2:$A$9,ShiftKnowledge!$F$2:$F$9,""),IFERROR(INDEX(ShiftKnowledge!$F$2:$F$9,MATCH($B299&amp;"|"&amp;$D299,ShiftKnowledge!$A$2:$A$9,0)),"")))</f>
        <v/>
      </c>
      <c r="J299" s="4">
        <f>IF($D299="Custom","",IFERROR(XLOOKUP($B299&amp;"|"&amp;$D299,ShiftKnowledge!$A$2:$A$9,ShiftKnowledge!$G$2:$G$9,""),IFERROR(INDEX(ShiftKnowledge!$G$2:$G$9,MATCH($B299&amp;"|"&amp;$D299,ShiftKnowledge!$A$2:$A$9,0)),"")))</f>
        <v/>
      </c>
      <c r="K299" s="4">
        <f>IF($D299="Custom","",IFERROR(XLOOKUP($B299&amp;"|"&amp;$D299,ShiftKnowledge!$A$2:$A$9,ShiftKnowledge!$H$2:$H$9,""),IFERROR(INDEX(ShiftKnowledge!$H$2:$H$9,MATCH($B299&amp;"|"&amp;$D299,ShiftKnowledge!$A$2:$A$9,0)),"")))</f>
        <v/>
      </c>
      <c r="L299" s="4">
        <f>IF($D299="Custom","",IFERROR(XLOOKUP($B299&amp;"|"&amp;$D299,ShiftKnowledge!$A$2:$A$9,ShiftKnowledge!$I$2:$I$9,""),IFERROR(INDEX(ShiftKnowledge!$I$2:$I$9,MATCH($B299&amp;"|"&amp;$D299,ShiftKnowledge!$A$2:$A$9,0)),"")))</f>
        <v/>
      </c>
      <c r="M299" s="4" t="inlineStr"/>
    </row>
    <row r="300" ht="20" customHeight="1">
      <c r="A300" s="6" t="inlineStr">
        <is>
          <t>15/11/2025</t>
        </is>
      </c>
      <c r="B300" s="6" t="inlineStr">
        <is>
          <t>Paediatrics</t>
        </is>
      </c>
      <c r="C300" s="7" t="inlineStr">
        <is>
          <t>Dr. Roshan Kumar Dikshit</t>
        </is>
      </c>
      <c r="D300" s="6" t="inlineStr"/>
      <c r="E300" s="6">
        <f>IF($D300="Custom","",IFERROR(XLOOKUP($B300&amp;"|"&amp;$D300,ShiftKnowledge!$A$2:$A$9,ShiftKnowledge!$D$2:$D$9,""),IFERROR(INDEX(ShiftKnowledge!$D$2:$D$9,MATCH($B300&amp;"|"&amp;$D300,ShiftKnowledge!$A$2:$A$9,0)),"")))</f>
        <v/>
      </c>
      <c r="F300" s="6" t="inlineStr"/>
      <c r="G300" s="6">
        <f>IF(AND($I300="",$L300=""),"",IFERROR(VALUE($I300),0)+IFERROR(VALUE($L300),0))</f>
        <v/>
      </c>
      <c r="H300" s="6">
        <f>IF($D300="Custom","",IFERROR(XLOOKUP($B300&amp;"|"&amp;$D300,ShiftKnowledge!$A$2:$A$9,ShiftKnowledge!$E$2:$E$9,""),IFERROR(INDEX(ShiftKnowledge!$E$2:$E$9,MATCH($B300&amp;"|"&amp;$D300,ShiftKnowledge!$A$2:$A$9,0)),"")))</f>
        <v/>
      </c>
      <c r="I300" s="6">
        <f>IF($D300="Custom","",IFERROR(XLOOKUP($B300&amp;"|"&amp;$D300,ShiftKnowledge!$A$2:$A$9,ShiftKnowledge!$F$2:$F$9,""),IFERROR(INDEX(ShiftKnowledge!$F$2:$F$9,MATCH($B300&amp;"|"&amp;$D300,ShiftKnowledge!$A$2:$A$9,0)),"")))</f>
        <v/>
      </c>
      <c r="J300" s="6">
        <f>IF($D300="Custom","",IFERROR(XLOOKUP($B300&amp;"|"&amp;$D300,ShiftKnowledge!$A$2:$A$9,ShiftKnowledge!$G$2:$G$9,""),IFERROR(INDEX(ShiftKnowledge!$G$2:$G$9,MATCH($B300&amp;"|"&amp;$D300,ShiftKnowledge!$A$2:$A$9,0)),"")))</f>
        <v/>
      </c>
      <c r="K300" s="6">
        <f>IF($D300="Custom","",IFERROR(XLOOKUP($B300&amp;"|"&amp;$D300,ShiftKnowledge!$A$2:$A$9,ShiftKnowledge!$H$2:$H$9,""),IFERROR(INDEX(ShiftKnowledge!$H$2:$H$9,MATCH($B300&amp;"|"&amp;$D300,ShiftKnowledge!$A$2:$A$9,0)),"")))</f>
        <v/>
      </c>
      <c r="L300" s="6">
        <f>IF($D300="Custom","",IFERROR(XLOOKUP($B300&amp;"|"&amp;$D300,ShiftKnowledge!$A$2:$A$9,ShiftKnowledge!$I$2:$I$9,""),IFERROR(INDEX(ShiftKnowledge!$I$2:$I$9,MATCH($B300&amp;"|"&amp;$D300,ShiftKnowledge!$A$2:$A$9,0)),"")))</f>
        <v/>
      </c>
      <c r="M300" s="6" t="inlineStr"/>
    </row>
    <row r="301" ht="20" customHeight="1">
      <c r="A301" s="4" t="inlineStr">
        <is>
          <t>15/11/2025</t>
        </is>
      </c>
      <c r="B301" s="4" t="inlineStr">
        <is>
          <t>Ophthalmology</t>
        </is>
      </c>
      <c r="C301" s="5" t="inlineStr">
        <is>
          <t>Dr. Roxy Devi Chirom</t>
        </is>
      </c>
      <c r="D301" s="4" t="inlineStr"/>
      <c r="E301" s="4">
        <f>IF($D301="Custom","",IFERROR(XLOOKUP($B301&amp;"|"&amp;$D301,ShiftKnowledge!$A$2:$A$9,ShiftKnowledge!$D$2:$D$9,""),IFERROR(INDEX(ShiftKnowledge!$D$2:$D$9,MATCH($B301&amp;"|"&amp;$D301,ShiftKnowledge!$A$2:$A$9,0)),"")))</f>
        <v/>
      </c>
      <c r="F301" s="4" t="inlineStr"/>
      <c r="G301" s="4">
        <f>IF(AND($I301="",$L301=""),"",IFERROR(VALUE($I301),0)+IFERROR(VALUE($L301),0))</f>
        <v/>
      </c>
      <c r="H301" s="4">
        <f>IF($D301="Custom","",IFERROR(XLOOKUP($B301&amp;"|"&amp;$D301,ShiftKnowledge!$A$2:$A$9,ShiftKnowledge!$E$2:$E$9,""),IFERROR(INDEX(ShiftKnowledge!$E$2:$E$9,MATCH($B301&amp;"|"&amp;$D301,ShiftKnowledge!$A$2:$A$9,0)),"")))</f>
        <v/>
      </c>
      <c r="I301" s="4">
        <f>IF($D301="Custom","",IFERROR(XLOOKUP($B301&amp;"|"&amp;$D301,ShiftKnowledge!$A$2:$A$9,ShiftKnowledge!$F$2:$F$9,""),IFERROR(INDEX(ShiftKnowledge!$F$2:$F$9,MATCH($B301&amp;"|"&amp;$D301,ShiftKnowledge!$A$2:$A$9,0)),"")))</f>
        <v/>
      </c>
      <c r="J301" s="4">
        <f>IF($D301="Custom","",IFERROR(XLOOKUP($B301&amp;"|"&amp;$D301,ShiftKnowledge!$A$2:$A$9,ShiftKnowledge!$G$2:$G$9,""),IFERROR(INDEX(ShiftKnowledge!$G$2:$G$9,MATCH($B301&amp;"|"&amp;$D301,ShiftKnowledge!$A$2:$A$9,0)),"")))</f>
        <v/>
      </c>
      <c r="K301" s="4">
        <f>IF($D301="Custom","",IFERROR(XLOOKUP($B301&amp;"|"&amp;$D301,ShiftKnowledge!$A$2:$A$9,ShiftKnowledge!$H$2:$H$9,""),IFERROR(INDEX(ShiftKnowledge!$H$2:$H$9,MATCH($B301&amp;"|"&amp;$D301,ShiftKnowledge!$A$2:$A$9,0)),"")))</f>
        <v/>
      </c>
      <c r="L301" s="4">
        <f>IF($D301="Custom","",IFERROR(XLOOKUP($B301&amp;"|"&amp;$D301,ShiftKnowledge!$A$2:$A$9,ShiftKnowledge!$I$2:$I$9,""),IFERROR(INDEX(ShiftKnowledge!$I$2:$I$9,MATCH($B301&amp;"|"&amp;$D301,ShiftKnowledge!$A$2:$A$9,0)),"")))</f>
        <v/>
      </c>
      <c r="M301" s="4" t="inlineStr"/>
    </row>
    <row r="302" ht="20" customHeight="1">
      <c r="A302" s="6" t="inlineStr">
        <is>
          <t>15/11/2025</t>
        </is>
      </c>
      <c r="B302" s="6" t="inlineStr">
        <is>
          <t>General Surgery</t>
        </is>
      </c>
      <c r="C302" s="7" t="inlineStr">
        <is>
          <t>Dr. Rubab Nafees</t>
        </is>
      </c>
      <c r="D302" s="6" t="inlineStr"/>
      <c r="E302" s="6">
        <f>IF($D302="Custom","",IFERROR(XLOOKUP($B302&amp;"|"&amp;$D302,ShiftKnowledge!$A$2:$A$9,ShiftKnowledge!$D$2:$D$9,""),IFERROR(INDEX(ShiftKnowledge!$D$2:$D$9,MATCH($B302&amp;"|"&amp;$D302,ShiftKnowledge!$A$2:$A$9,0)),"")))</f>
        <v/>
      </c>
      <c r="F302" s="6" t="inlineStr"/>
      <c r="G302" s="6">
        <f>IF(AND($I302="",$L302=""),"",IFERROR(VALUE($I302),0)+IFERROR(VALUE($L302),0))</f>
        <v/>
      </c>
      <c r="H302" s="6">
        <f>IF($D302="Custom","",IFERROR(XLOOKUP($B302&amp;"|"&amp;$D302,ShiftKnowledge!$A$2:$A$9,ShiftKnowledge!$E$2:$E$9,""),IFERROR(INDEX(ShiftKnowledge!$E$2:$E$9,MATCH($B302&amp;"|"&amp;$D302,ShiftKnowledge!$A$2:$A$9,0)),"")))</f>
        <v/>
      </c>
      <c r="I302" s="6">
        <f>IF($D302="Custom","",IFERROR(XLOOKUP($B302&amp;"|"&amp;$D302,ShiftKnowledge!$A$2:$A$9,ShiftKnowledge!$F$2:$F$9,""),IFERROR(INDEX(ShiftKnowledge!$F$2:$F$9,MATCH($B302&amp;"|"&amp;$D302,ShiftKnowledge!$A$2:$A$9,0)),"")))</f>
        <v/>
      </c>
      <c r="J302" s="6">
        <f>IF($D302="Custom","",IFERROR(XLOOKUP($B302&amp;"|"&amp;$D302,ShiftKnowledge!$A$2:$A$9,ShiftKnowledge!$G$2:$G$9,""),IFERROR(INDEX(ShiftKnowledge!$G$2:$G$9,MATCH($B302&amp;"|"&amp;$D302,ShiftKnowledge!$A$2:$A$9,0)),"")))</f>
        <v/>
      </c>
      <c r="K302" s="6">
        <f>IF($D302="Custom","",IFERROR(XLOOKUP($B302&amp;"|"&amp;$D302,ShiftKnowledge!$A$2:$A$9,ShiftKnowledge!$H$2:$H$9,""),IFERROR(INDEX(ShiftKnowledge!$H$2:$H$9,MATCH($B302&amp;"|"&amp;$D302,ShiftKnowledge!$A$2:$A$9,0)),"")))</f>
        <v/>
      </c>
      <c r="L302" s="6">
        <f>IF($D302="Custom","",IFERROR(XLOOKUP($B302&amp;"|"&amp;$D302,ShiftKnowledge!$A$2:$A$9,ShiftKnowledge!$I$2:$I$9,""),IFERROR(INDEX(ShiftKnowledge!$I$2:$I$9,MATCH($B302&amp;"|"&amp;$D302,ShiftKnowledge!$A$2:$A$9,0)),"")))</f>
        <v/>
      </c>
      <c r="M302" s="6" t="inlineStr"/>
    </row>
    <row r="303" ht="20" customHeight="1">
      <c r="A303" s="4" t="inlineStr">
        <is>
          <t>15/11/2025</t>
        </is>
      </c>
      <c r="B303" s="4" t="inlineStr">
        <is>
          <t>Gynaecology</t>
        </is>
      </c>
      <c r="C303" s="5" t="inlineStr">
        <is>
          <t>Dr. Rubeena Badar Khan</t>
        </is>
      </c>
      <c r="D303" s="4" t="inlineStr"/>
      <c r="E303" s="4">
        <f>IF($D303="Custom","",IFERROR(XLOOKUP($B303&amp;"|"&amp;$D303,ShiftKnowledge!$A$2:$A$9,ShiftKnowledge!$D$2:$D$9,""),IFERROR(INDEX(ShiftKnowledge!$D$2:$D$9,MATCH($B303&amp;"|"&amp;$D303,ShiftKnowledge!$A$2:$A$9,0)),"")))</f>
        <v/>
      </c>
      <c r="F303" s="4" t="inlineStr"/>
      <c r="G303" s="4">
        <f>IF(AND($I303="",$L303=""),"",IFERROR(VALUE($I303),0)+IFERROR(VALUE($L303),0))</f>
        <v/>
      </c>
      <c r="H303" s="4">
        <f>IF($D303="Custom","",IFERROR(XLOOKUP($B303&amp;"|"&amp;$D303,ShiftKnowledge!$A$2:$A$9,ShiftKnowledge!$E$2:$E$9,""),IFERROR(INDEX(ShiftKnowledge!$E$2:$E$9,MATCH($B303&amp;"|"&amp;$D303,ShiftKnowledge!$A$2:$A$9,0)),"")))</f>
        <v/>
      </c>
      <c r="I303" s="4">
        <f>IF($D303="Custom","",IFERROR(XLOOKUP($B303&amp;"|"&amp;$D303,ShiftKnowledge!$A$2:$A$9,ShiftKnowledge!$F$2:$F$9,""),IFERROR(INDEX(ShiftKnowledge!$F$2:$F$9,MATCH($B303&amp;"|"&amp;$D303,ShiftKnowledge!$A$2:$A$9,0)),"")))</f>
        <v/>
      </c>
      <c r="J303" s="4">
        <f>IF($D303="Custom","",IFERROR(XLOOKUP($B303&amp;"|"&amp;$D303,ShiftKnowledge!$A$2:$A$9,ShiftKnowledge!$G$2:$G$9,""),IFERROR(INDEX(ShiftKnowledge!$G$2:$G$9,MATCH($B303&amp;"|"&amp;$D303,ShiftKnowledge!$A$2:$A$9,0)),"")))</f>
        <v/>
      </c>
      <c r="K303" s="4">
        <f>IF($D303="Custom","",IFERROR(XLOOKUP($B303&amp;"|"&amp;$D303,ShiftKnowledge!$A$2:$A$9,ShiftKnowledge!$H$2:$H$9,""),IFERROR(INDEX(ShiftKnowledge!$H$2:$H$9,MATCH($B303&amp;"|"&amp;$D303,ShiftKnowledge!$A$2:$A$9,0)),"")))</f>
        <v/>
      </c>
      <c r="L303" s="4">
        <f>IF($D303="Custom","",IFERROR(XLOOKUP($B303&amp;"|"&amp;$D303,ShiftKnowledge!$A$2:$A$9,ShiftKnowledge!$I$2:$I$9,""),IFERROR(INDEX(ShiftKnowledge!$I$2:$I$9,MATCH($B303&amp;"|"&amp;$D303,ShiftKnowledge!$A$2:$A$9,0)),"")))</f>
        <v/>
      </c>
      <c r="M303" s="4" t="inlineStr"/>
    </row>
    <row r="304" ht="20" customHeight="1">
      <c r="A304" s="6" t="inlineStr">
        <is>
          <t>15/11/2025</t>
        </is>
      </c>
      <c r="B304" s="6" t="inlineStr">
        <is>
          <t>Dental</t>
        </is>
      </c>
      <c r="C304" s="7" t="inlineStr">
        <is>
          <t>Dr. Safa Abdul Gayyoom</t>
        </is>
      </c>
      <c r="D304" s="6" t="inlineStr"/>
      <c r="E304" s="6">
        <f>IF($D304="Custom","",IFERROR(XLOOKUP($B304&amp;"|"&amp;$D304,ShiftKnowledge!$A$2:$A$9,ShiftKnowledge!$D$2:$D$9,""),IFERROR(INDEX(ShiftKnowledge!$D$2:$D$9,MATCH($B304&amp;"|"&amp;$D304,ShiftKnowledge!$A$2:$A$9,0)),"")))</f>
        <v/>
      </c>
      <c r="F304" s="6" t="inlineStr"/>
      <c r="G304" s="6">
        <f>IF(AND($I304="",$L304=""),"",IFERROR(VALUE($I304),0)+IFERROR(VALUE($L304),0))</f>
        <v/>
      </c>
      <c r="H304" s="6">
        <f>IF($D304="Custom","",IFERROR(XLOOKUP($B304&amp;"|"&amp;$D304,ShiftKnowledge!$A$2:$A$9,ShiftKnowledge!$E$2:$E$9,""),IFERROR(INDEX(ShiftKnowledge!$E$2:$E$9,MATCH($B304&amp;"|"&amp;$D304,ShiftKnowledge!$A$2:$A$9,0)),"")))</f>
        <v/>
      </c>
      <c r="I304" s="6">
        <f>IF($D304="Custom","",IFERROR(XLOOKUP($B304&amp;"|"&amp;$D304,ShiftKnowledge!$A$2:$A$9,ShiftKnowledge!$F$2:$F$9,""),IFERROR(INDEX(ShiftKnowledge!$F$2:$F$9,MATCH($B304&amp;"|"&amp;$D304,ShiftKnowledge!$A$2:$A$9,0)),"")))</f>
        <v/>
      </c>
      <c r="J304" s="6">
        <f>IF($D304="Custom","",IFERROR(XLOOKUP($B304&amp;"|"&amp;$D304,ShiftKnowledge!$A$2:$A$9,ShiftKnowledge!$G$2:$G$9,""),IFERROR(INDEX(ShiftKnowledge!$G$2:$G$9,MATCH($B304&amp;"|"&amp;$D304,ShiftKnowledge!$A$2:$A$9,0)),"")))</f>
        <v/>
      </c>
      <c r="K304" s="6">
        <f>IF($D304="Custom","",IFERROR(XLOOKUP($B304&amp;"|"&amp;$D304,ShiftKnowledge!$A$2:$A$9,ShiftKnowledge!$H$2:$H$9,""),IFERROR(INDEX(ShiftKnowledge!$H$2:$H$9,MATCH($B304&amp;"|"&amp;$D304,ShiftKnowledge!$A$2:$A$9,0)),"")))</f>
        <v/>
      </c>
      <c r="L304" s="6">
        <f>IF($D304="Custom","",IFERROR(XLOOKUP($B304&amp;"|"&amp;$D304,ShiftKnowledge!$A$2:$A$9,ShiftKnowledge!$I$2:$I$9,""),IFERROR(INDEX(ShiftKnowledge!$I$2:$I$9,MATCH($B304&amp;"|"&amp;$D304,ShiftKnowledge!$A$2:$A$9,0)),"")))</f>
        <v/>
      </c>
      <c r="M304" s="6" t="inlineStr"/>
    </row>
    <row r="305" ht="20" customHeight="1">
      <c r="A305" s="4" t="inlineStr">
        <is>
          <t>15/11/2025</t>
        </is>
      </c>
      <c r="B305" s="4" t="inlineStr">
        <is>
          <t>Internal Medicine</t>
        </is>
      </c>
      <c r="C305" s="5" t="inlineStr">
        <is>
          <t>Dr. Saroj Thapa</t>
        </is>
      </c>
      <c r="D305" s="4" t="inlineStr"/>
      <c r="E305" s="4">
        <f>IF($D305="Custom","",IFERROR(XLOOKUP($B305&amp;"|"&amp;$D305,ShiftKnowledge!$A$2:$A$9,ShiftKnowledge!$D$2:$D$9,""),IFERROR(INDEX(ShiftKnowledge!$D$2:$D$9,MATCH($B305&amp;"|"&amp;$D305,ShiftKnowledge!$A$2:$A$9,0)),"")))</f>
        <v/>
      </c>
      <c r="F305" s="4" t="inlineStr"/>
      <c r="G305" s="4">
        <f>IF(AND($I305="",$L305=""),"",IFERROR(VALUE($I305),0)+IFERROR(VALUE($L305),0))</f>
        <v/>
      </c>
      <c r="H305" s="4">
        <f>IF($D305="Custom","",IFERROR(XLOOKUP($B305&amp;"|"&amp;$D305,ShiftKnowledge!$A$2:$A$9,ShiftKnowledge!$E$2:$E$9,""),IFERROR(INDEX(ShiftKnowledge!$E$2:$E$9,MATCH($B305&amp;"|"&amp;$D305,ShiftKnowledge!$A$2:$A$9,0)),"")))</f>
        <v/>
      </c>
      <c r="I305" s="4">
        <f>IF($D305="Custom","",IFERROR(XLOOKUP($B305&amp;"|"&amp;$D305,ShiftKnowledge!$A$2:$A$9,ShiftKnowledge!$F$2:$F$9,""),IFERROR(INDEX(ShiftKnowledge!$F$2:$F$9,MATCH($B305&amp;"|"&amp;$D305,ShiftKnowledge!$A$2:$A$9,0)),"")))</f>
        <v/>
      </c>
      <c r="J305" s="4">
        <f>IF($D305="Custom","",IFERROR(XLOOKUP($B305&amp;"|"&amp;$D305,ShiftKnowledge!$A$2:$A$9,ShiftKnowledge!$G$2:$G$9,""),IFERROR(INDEX(ShiftKnowledge!$G$2:$G$9,MATCH($B305&amp;"|"&amp;$D305,ShiftKnowledge!$A$2:$A$9,0)),"")))</f>
        <v/>
      </c>
      <c r="K305" s="4">
        <f>IF($D305="Custom","",IFERROR(XLOOKUP($B305&amp;"|"&amp;$D305,ShiftKnowledge!$A$2:$A$9,ShiftKnowledge!$H$2:$H$9,""),IFERROR(INDEX(ShiftKnowledge!$H$2:$H$9,MATCH($B305&amp;"|"&amp;$D305,ShiftKnowledge!$A$2:$A$9,0)),"")))</f>
        <v/>
      </c>
      <c r="L305" s="4">
        <f>IF($D305="Custom","",IFERROR(XLOOKUP($B305&amp;"|"&amp;$D305,ShiftKnowledge!$A$2:$A$9,ShiftKnowledge!$I$2:$I$9,""),IFERROR(INDEX(ShiftKnowledge!$I$2:$I$9,MATCH($B305&amp;"|"&amp;$D305,ShiftKnowledge!$A$2:$A$9,0)),"")))</f>
        <v/>
      </c>
      <c r="M305" s="4" t="inlineStr"/>
    </row>
    <row r="306" ht="20" customHeight="1">
      <c r="A306" s="6" t="inlineStr">
        <is>
          <t>15/11/2025</t>
        </is>
      </c>
      <c r="B306" s="6" t="inlineStr">
        <is>
          <t>General Surgery</t>
        </is>
      </c>
      <c r="C306" s="7" t="inlineStr">
        <is>
          <t>Dr. Su Mon Kyaw</t>
        </is>
      </c>
      <c r="D306" s="6" t="inlineStr"/>
      <c r="E306" s="6">
        <f>IF($D306="Custom","",IFERROR(XLOOKUP($B306&amp;"|"&amp;$D306,ShiftKnowledge!$A$2:$A$9,ShiftKnowledge!$D$2:$D$9,""),IFERROR(INDEX(ShiftKnowledge!$D$2:$D$9,MATCH($B306&amp;"|"&amp;$D306,ShiftKnowledge!$A$2:$A$9,0)),"")))</f>
        <v/>
      </c>
      <c r="F306" s="6" t="inlineStr"/>
      <c r="G306" s="6">
        <f>IF(AND($I306="",$L306=""),"",IFERROR(VALUE($I306),0)+IFERROR(VALUE($L306),0))</f>
        <v/>
      </c>
      <c r="H306" s="6">
        <f>IF($D306="Custom","",IFERROR(XLOOKUP($B306&amp;"|"&amp;$D306,ShiftKnowledge!$A$2:$A$9,ShiftKnowledge!$E$2:$E$9,""),IFERROR(INDEX(ShiftKnowledge!$E$2:$E$9,MATCH($B306&amp;"|"&amp;$D306,ShiftKnowledge!$A$2:$A$9,0)),"")))</f>
        <v/>
      </c>
      <c r="I306" s="6">
        <f>IF($D306="Custom","",IFERROR(XLOOKUP($B306&amp;"|"&amp;$D306,ShiftKnowledge!$A$2:$A$9,ShiftKnowledge!$F$2:$F$9,""),IFERROR(INDEX(ShiftKnowledge!$F$2:$F$9,MATCH($B306&amp;"|"&amp;$D306,ShiftKnowledge!$A$2:$A$9,0)),"")))</f>
        <v/>
      </c>
      <c r="J306" s="6">
        <f>IF($D306="Custom","",IFERROR(XLOOKUP($B306&amp;"|"&amp;$D306,ShiftKnowledge!$A$2:$A$9,ShiftKnowledge!$G$2:$G$9,""),IFERROR(INDEX(ShiftKnowledge!$G$2:$G$9,MATCH($B306&amp;"|"&amp;$D306,ShiftKnowledge!$A$2:$A$9,0)),"")))</f>
        <v/>
      </c>
      <c r="K306" s="6">
        <f>IF($D306="Custom","",IFERROR(XLOOKUP($B306&amp;"|"&amp;$D306,ShiftKnowledge!$A$2:$A$9,ShiftKnowledge!$H$2:$H$9,""),IFERROR(INDEX(ShiftKnowledge!$H$2:$H$9,MATCH($B306&amp;"|"&amp;$D306,ShiftKnowledge!$A$2:$A$9,0)),"")))</f>
        <v/>
      </c>
      <c r="L306" s="6">
        <f>IF($D306="Custom","",IFERROR(XLOOKUP($B306&amp;"|"&amp;$D306,ShiftKnowledge!$A$2:$A$9,ShiftKnowledge!$I$2:$I$9,""),IFERROR(INDEX(ShiftKnowledge!$I$2:$I$9,MATCH($B306&amp;"|"&amp;$D306,ShiftKnowledge!$A$2:$A$9,0)),"")))</f>
        <v/>
      </c>
      <c r="M306" s="6" t="inlineStr"/>
    </row>
    <row r="307" ht="20" customHeight="1">
      <c r="A307" s="4" t="inlineStr">
        <is>
          <t>15/11/2025</t>
        </is>
      </c>
      <c r="B307" s="4" t="inlineStr">
        <is>
          <t>Internal Medicine</t>
        </is>
      </c>
      <c r="C307" s="5" t="inlineStr">
        <is>
          <t>Dr. Sumretee</t>
        </is>
      </c>
      <c r="D307" s="4" t="inlineStr"/>
      <c r="E307" s="4">
        <f>IF($D307="Custom","",IFERROR(XLOOKUP($B307&amp;"|"&amp;$D307,ShiftKnowledge!$A$2:$A$9,ShiftKnowledge!$D$2:$D$9,""),IFERROR(INDEX(ShiftKnowledge!$D$2:$D$9,MATCH($B307&amp;"|"&amp;$D307,ShiftKnowledge!$A$2:$A$9,0)),"")))</f>
        <v/>
      </c>
      <c r="F307" s="4" t="inlineStr"/>
      <c r="G307" s="4">
        <f>IF(AND($I307="",$L307=""),"",IFERROR(VALUE($I307),0)+IFERROR(VALUE($L307),0))</f>
        <v/>
      </c>
      <c r="H307" s="4">
        <f>IF($D307="Custom","",IFERROR(XLOOKUP($B307&amp;"|"&amp;$D307,ShiftKnowledge!$A$2:$A$9,ShiftKnowledge!$E$2:$E$9,""),IFERROR(INDEX(ShiftKnowledge!$E$2:$E$9,MATCH($B307&amp;"|"&amp;$D307,ShiftKnowledge!$A$2:$A$9,0)),"")))</f>
        <v/>
      </c>
      <c r="I307" s="4">
        <f>IF($D307="Custom","",IFERROR(XLOOKUP($B307&amp;"|"&amp;$D307,ShiftKnowledge!$A$2:$A$9,ShiftKnowledge!$F$2:$F$9,""),IFERROR(INDEX(ShiftKnowledge!$F$2:$F$9,MATCH($B307&amp;"|"&amp;$D307,ShiftKnowledge!$A$2:$A$9,0)),"")))</f>
        <v/>
      </c>
      <c r="J307" s="4">
        <f>IF($D307="Custom","",IFERROR(XLOOKUP($B307&amp;"|"&amp;$D307,ShiftKnowledge!$A$2:$A$9,ShiftKnowledge!$G$2:$G$9,""),IFERROR(INDEX(ShiftKnowledge!$G$2:$G$9,MATCH($B307&amp;"|"&amp;$D307,ShiftKnowledge!$A$2:$A$9,0)),"")))</f>
        <v/>
      </c>
      <c r="K307" s="4">
        <f>IF($D307="Custom","",IFERROR(XLOOKUP($B307&amp;"|"&amp;$D307,ShiftKnowledge!$A$2:$A$9,ShiftKnowledge!$H$2:$H$9,""),IFERROR(INDEX(ShiftKnowledge!$H$2:$H$9,MATCH($B307&amp;"|"&amp;$D307,ShiftKnowledge!$A$2:$A$9,0)),"")))</f>
        <v/>
      </c>
      <c r="L307" s="4">
        <f>IF($D307="Custom","",IFERROR(XLOOKUP($B307&amp;"|"&amp;$D307,ShiftKnowledge!$A$2:$A$9,ShiftKnowledge!$I$2:$I$9,""),IFERROR(INDEX(ShiftKnowledge!$I$2:$I$9,MATCH($B307&amp;"|"&amp;$D307,ShiftKnowledge!$A$2:$A$9,0)),"")))</f>
        <v/>
      </c>
      <c r="M307" s="4" t="inlineStr"/>
    </row>
    <row r="308" ht="20" customHeight="1">
      <c r="A308" s="6" t="inlineStr">
        <is>
          <t>15/11/2025</t>
        </is>
      </c>
      <c r="B308" s="6" t="inlineStr">
        <is>
          <t>Orthopaedics</t>
        </is>
      </c>
      <c r="C308" s="7" t="inlineStr">
        <is>
          <t>Dr. Vinod Ramlal</t>
        </is>
      </c>
      <c r="D308" s="6" t="inlineStr"/>
      <c r="E308" s="6">
        <f>IF($D308="Custom","",IFERROR(XLOOKUP($B308&amp;"|"&amp;$D308,ShiftKnowledge!$A$2:$A$9,ShiftKnowledge!$D$2:$D$9,""),IFERROR(INDEX(ShiftKnowledge!$D$2:$D$9,MATCH($B308&amp;"|"&amp;$D308,ShiftKnowledge!$A$2:$A$9,0)),"")))</f>
        <v/>
      </c>
      <c r="F308" s="6" t="inlineStr"/>
      <c r="G308" s="6">
        <f>IF(AND($I308="",$L308=""),"",IFERROR(VALUE($I308),0)+IFERROR(VALUE($L308),0))</f>
        <v/>
      </c>
      <c r="H308" s="6">
        <f>IF($D308="Custom","",IFERROR(XLOOKUP($B308&amp;"|"&amp;$D308,ShiftKnowledge!$A$2:$A$9,ShiftKnowledge!$E$2:$E$9,""),IFERROR(INDEX(ShiftKnowledge!$E$2:$E$9,MATCH($B308&amp;"|"&amp;$D308,ShiftKnowledge!$A$2:$A$9,0)),"")))</f>
        <v/>
      </c>
      <c r="I308" s="6">
        <f>IF($D308="Custom","",IFERROR(XLOOKUP($B308&amp;"|"&amp;$D308,ShiftKnowledge!$A$2:$A$9,ShiftKnowledge!$F$2:$F$9,""),IFERROR(INDEX(ShiftKnowledge!$F$2:$F$9,MATCH($B308&amp;"|"&amp;$D308,ShiftKnowledge!$A$2:$A$9,0)),"")))</f>
        <v/>
      </c>
      <c r="J308" s="6">
        <f>IF($D308="Custom","",IFERROR(XLOOKUP($B308&amp;"|"&amp;$D308,ShiftKnowledge!$A$2:$A$9,ShiftKnowledge!$G$2:$G$9,""),IFERROR(INDEX(ShiftKnowledge!$G$2:$G$9,MATCH($B308&amp;"|"&amp;$D308,ShiftKnowledge!$A$2:$A$9,0)),"")))</f>
        <v/>
      </c>
      <c r="K308" s="6">
        <f>IF($D308="Custom","",IFERROR(XLOOKUP($B308&amp;"|"&amp;$D308,ShiftKnowledge!$A$2:$A$9,ShiftKnowledge!$H$2:$H$9,""),IFERROR(INDEX(ShiftKnowledge!$H$2:$H$9,MATCH($B308&amp;"|"&amp;$D308,ShiftKnowledge!$A$2:$A$9,0)),"")))</f>
        <v/>
      </c>
      <c r="L308" s="6">
        <f>IF($D308="Custom","",IFERROR(XLOOKUP($B308&amp;"|"&amp;$D308,ShiftKnowledge!$A$2:$A$9,ShiftKnowledge!$I$2:$I$9,""),IFERROR(INDEX(ShiftKnowledge!$I$2:$I$9,MATCH($B308&amp;"|"&amp;$D308,ShiftKnowledge!$A$2:$A$9,0)),"")))</f>
        <v/>
      </c>
      <c r="M308" s="6" t="inlineStr"/>
    </row>
    <row r="309" ht="20" customHeight="1">
      <c r="A309" s="4" t="inlineStr">
        <is>
          <t>15/11/2025</t>
        </is>
      </c>
      <c r="B309" s="4" t="inlineStr">
        <is>
          <t>Paediatrics</t>
        </is>
      </c>
      <c r="C309" s="5" t="inlineStr">
        <is>
          <t>Dr. Yi Nwe Soe</t>
        </is>
      </c>
      <c r="D309" s="4" t="inlineStr"/>
      <c r="E309" s="4">
        <f>IF($D309="Custom","",IFERROR(XLOOKUP($B309&amp;"|"&amp;$D309,ShiftKnowledge!$A$2:$A$9,ShiftKnowledge!$D$2:$D$9,""),IFERROR(INDEX(ShiftKnowledge!$D$2:$D$9,MATCH($B309&amp;"|"&amp;$D309,ShiftKnowledge!$A$2:$A$9,0)),"")))</f>
        <v/>
      </c>
      <c r="F309" s="4" t="inlineStr"/>
      <c r="G309" s="4">
        <f>IF(AND($I309="",$L309=""),"",IFERROR(VALUE($I309),0)+IFERROR(VALUE($L309),0))</f>
        <v/>
      </c>
      <c r="H309" s="4">
        <f>IF($D309="Custom","",IFERROR(XLOOKUP($B309&amp;"|"&amp;$D309,ShiftKnowledge!$A$2:$A$9,ShiftKnowledge!$E$2:$E$9,""),IFERROR(INDEX(ShiftKnowledge!$E$2:$E$9,MATCH($B309&amp;"|"&amp;$D309,ShiftKnowledge!$A$2:$A$9,0)),"")))</f>
        <v/>
      </c>
      <c r="I309" s="4">
        <f>IF($D309="Custom","",IFERROR(XLOOKUP($B309&amp;"|"&amp;$D309,ShiftKnowledge!$A$2:$A$9,ShiftKnowledge!$F$2:$F$9,""),IFERROR(INDEX(ShiftKnowledge!$F$2:$F$9,MATCH($B309&amp;"|"&amp;$D309,ShiftKnowledge!$A$2:$A$9,0)),"")))</f>
        <v/>
      </c>
      <c r="J309" s="4">
        <f>IF($D309="Custom","",IFERROR(XLOOKUP($B309&amp;"|"&amp;$D309,ShiftKnowledge!$A$2:$A$9,ShiftKnowledge!$G$2:$G$9,""),IFERROR(INDEX(ShiftKnowledge!$G$2:$G$9,MATCH($B309&amp;"|"&amp;$D309,ShiftKnowledge!$A$2:$A$9,0)),"")))</f>
        <v/>
      </c>
      <c r="K309" s="4">
        <f>IF($D309="Custom","",IFERROR(XLOOKUP($B309&amp;"|"&amp;$D309,ShiftKnowledge!$A$2:$A$9,ShiftKnowledge!$H$2:$H$9,""),IFERROR(INDEX(ShiftKnowledge!$H$2:$H$9,MATCH($B309&amp;"|"&amp;$D309,ShiftKnowledge!$A$2:$A$9,0)),"")))</f>
        <v/>
      </c>
      <c r="L309" s="4">
        <f>IF($D309="Custom","",IFERROR(XLOOKUP($B309&amp;"|"&amp;$D309,ShiftKnowledge!$A$2:$A$9,ShiftKnowledge!$I$2:$I$9,""),IFERROR(INDEX(ShiftKnowledge!$I$2:$I$9,MATCH($B309&amp;"|"&amp;$D309,ShiftKnowledge!$A$2:$A$9,0)),"")))</f>
        <v/>
      </c>
      <c r="M309" s="4" t="inlineStr"/>
    </row>
    <row r="310" ht="20" customHeight="1">
      <c r="A310" s="6" t="inlineStr">
        <is>
          <t>15/11/2025</t>
        </is>
      </c>
      <c r="B310" s="6" t="inlineStr">
        <is>
          <t>Gynaecology</t>
        </is>
      </c>
      <c r="C310" s="7" t="inlineStr">
        <is>
          <t>Dr. Zarina Kabilova</t>
        </is>
      </c>
      <c r="D310" s="6" t="inlineStr"/>
      <c r="E310" s="6">
        <f>IF($D310="Custom","",IFERROR(XLOOKUP($B310&amp;"|"&amp;$D310,ShiftKnowledge!$A$2:$A$9,ShiftKnowledge!$D$2:$D$9,""),IFERROR(INDEX(ShiftKnowledge!$D$2:$D$9,MATCH($B310&amp;"|"&amp;$D310,ShiftKnowledge!$A$2:$A$9,0)),"")))</f>
        <v/>
      </c>
      <c r="F310" s="6" t="inlineStr"/>
      <c r="G310" s="6">
        <f>IF(AND($I310="",$L310=""),"",IFERROR(VALUE($I310),0)+IFERROR(VALUE($L310),0))</f>
        <v/>
      </c>
      <c r="H310" s="6">
        <f>IF($D310="Custom","",IFERROR(XLOOKUP($B310&amp;"|"&amp;$D310,ShiftKnowledge!$A$2:$A$9,ShiftKnowledge!$E$2:$E$9,""),IFERROR(INDEX(ShiftKnowledge!$E$2:$E$9,MATCH($B310&amp;"|"&amp;$D310,ShiftKnowledge!$A$2:$A$9,0)),"")))</f>
        <v/>
      </c>
      <c r="I310" s="6">
        <f>IF($D310="Custom","",IFERROR(XLOOKUP($B310&amp;"|"&amp;$D310,ShiftKnowledge!$A$2:$A$9,ShiftKnowledge!$F$2:$F$9,""),IFERROR(INDEX(ShiftKnowledge!$F$2:$F$9,MATCH($B310&amp;"|"&amp;$D310,ShiftKnowledge!$A$2:$A$9,0)),"")))</f>
        <v/>
      </c>
      <c r="J310" s="6">
        <f>IF($D310="Custom","",IFERROR(XLOOKUP($B310&amp;"|"&amp;$D310,ShiftKnowledge!$A$2:$A$9,ShiftKnowledge!$G$2:$G$9,""),IFERROR(INDEX(ShiftKnowledge!$G$2:$G$9,MATCH($B310&amp;"|"&amp;$D310,ShiftKnowledge!$A$2:$A$9,0)),"")))</f>
        <v/>
      </c>
      <c r="K310" s="6">
        <f>IF($D310="Custom","",IFERROR(XLOOKUP($B310&amp;"|"&amp;$D310,ShiftKnowledge!$A$2:$A$9,ShiftKnowledge!$H$2:$H$9,""),IFERROR(INDEX(ShiftKnowledge!$H$2:$H$9,MATCH($B310&amp;"|"&amp;$D310,ShiftKnowledge!$A$2:$A$9,0)),"")))</f>
        <v/>
      </c>
      <c r="L310" s="6">
        <f>IF($D310="Custom","",IFERROR(XLOOKUP($B310&amp;"|"&amp;$D310,ShiftKnowledge!$A$2:$A$9,ShiftKnowledge!$I$2:$I$9,""),IFERROR(INDEX(ShiftKnowledge!$I$2:$I$9,MATCH($B310&amp;"|"&amp;$D310,ShiftKnowledge!$A$2:$A$9,0)),"")))</f>
        <v/>
      </c>
      <c r="M310" s="6" t="inlineStr"/>
    </row>
    <row r="311" ht="20" customHeight="1">
      <c r="A311" s="4" t="inlineStr">
        <is>
          <t>16/11/2025</t>
        </is>
      </c>
      <c r="B311" s="4" t="inlineStr">
        <is>
          <t>Orthopaedics</t>
        </is>
      </c>
      <c r="C311" s="5" t="inlineStr">
        <is>
          <t>Dr. Ahmed Azim Abdul Shakoor</t>
        </is>
      </c>
      <c r="D311" s="4" t="inlineStr"/>
      <c r="E311" s="4">
        <f>IF($D311="Custom","",IFERROR(XLOOKUP($B311&amp;"|"&amp;$D311,ShiftKnowledge!$A$2:$A$9,ShiftKnowledge!$D$2:$D$9,""),IFERROR(INDEX(ShiftKnowledge!$D$2:$D$9,MATCH($B311&amp;"|"&amp;$D311,ShiftKnowledge!$A$2:$A$9,0)),"")))</f>
        <v/>
      </c>
      <c r="F311" s="4" t="inlineStr"/>
      <c r="G311" s="4">
        <f>IF(AND($I311="",$L311=""),"",IFERROR(VALUE($I311),0)+IFERROR(VALUE($L311),0))</f>
        <v/>
      </c>
      <c r="H311" s="4">
        <f>IF($D311="Custom","",IFERROR(XLOOKUP($B311&amp;"|"&amp;$D311,ShiftKnowledge!$A$2:$A$9,ShiftKnowledge!$E$2:$E$9,""),IFERROR(INDEX(ShiftKnowledge!$E$2:$E$9,MATCH($B311&amp;"|"&amp;$D311,ShiftKnowledge!$A$2:$A$9,0)),"")))</f>
        <v/>
      </c>
      <c r="I311" s="4">
        <f>IF($D311="Custom","",IFERROR(XLOOKUP($B311&amp;"|"&amp;$D311,ShiftKnowledge!$A$2:$A$9,ShiftKnowledge!$F$2:$F$9,""),IFERROR(INDEX(ShiftKnowledge!$F$2:$F$9,MATCH($B311&amp;"|"&amp;$D311,ShiftKnowledge!$A$2:$A$9,0)),"")))</f>
        <v/>
      </c>
      <c r="J311" s="4">
        <f>IF($D311="Custom","",IFERROR(XLOOKUP($B311&amp;"|"&amp;$D311,ShiftKnowledge!$A$2:$A$9,ShiftKnowledge!$G$2:$G$9,""),IFERROR(INDEX(ShiftKnowledge!$G$2:$G$9,MATCH($B311&amp;"|"&amp;$D311,ShiftKnowledge!$A$2:$A$9,0)),"")))</f>
        <v/>
      </c>
      <c r="K311" s="4">
        <f>IF($D311="Custom","",IFERROR(XLOOKUP($B311&amp;"|"&amp;$D311,ShiftKnowledge!$A$2:$A$9,ShiftKnowledge!$H$2:$H$9,""),IFERROR(INDEX(ShiftKnowledge!$H$2:$H$9,MATCH($B311&amp;"|"&amp;$D311,ShiftKnowledge!$A$2:$A$9,0)),"")))</f>
        <v/>
      </c>
      <c r="L311" s="4">
        <f>IF($D311="Custom","",IFERROR(XLOOKUP($B311&amp;"|"&amp;$D311,ShiftKnowledge!$A$2:$A$9,ShiftKnowledge!$I$2:$I$9,""),IFERROR(INDEX(ShiftKnowledge!$I$2:$I$9,MATCH($B311&amp;"|"&amp;$D311,ShiftKnowledge!$A$2:$A$9,0)),"")))</f>
        <v/>
      </c>
      <c r="M311" s="4" t="inlineStr"/>
    </row>
    <row r="312" ht="20" customHeight="1">
      <c r="A312" s="6" t="inlineStr">
        <is>
          <t>16/11/2025</t>
        </is>
      </c>
      <c r="B312" s="6" t="inlineStr">
        <is>
          <t>Dermatology</t>
        </is>
      </c>
      <c r="C312" s="7" t="inlineStr">
        <is>
          <t>Dr. Ahmed Fekry Bahyeldin Khalafallah</t>
        </is>
      </c>
      <c r="D312" s="6" t="inlineStr"/>
      <c r="E312" s="6">
        <f>IF($D312="Custom","",IFERROR(XLOOKUP($B312&amp;"|"&amp;$D312,ShiftKnowledge!$A$2:$A$9,ShiftKnowledge!$D$2:$D$9,""),IFERROR(INDEX(ShiftKnowledge!$D$2:$D$9,MATCH($B312&amp;"|"&amp;$D312,ShiftKnowledge!$A$2:$A$9,0)),"")))</f>
        <v/>
      </c>
      <c r="F312" s="6" t="inlineStr"/>
      <c r="G312" s="6">
        <f>IF(AND($I312="",$L312=""),"",IFERROR(VALUE($I312),0)+IFERROR(VALUE($L312),0))</f>
        <v/>
      </c>
      <c r="H312" s="6">
        <f>IF($D312="Custom","",IFERROR(XLOOKUP($B312&amp;"|"&amp;$D312,ShiftKnowledge!$A$2:$A$9,ShiftKnowledge!$E$2:$E$9,""),IFERROR(INDEX(ShiftKnowledge!$E$2:$E$9,MATCH($B312&amp;"|"&amp;$D312,ShiftKnowledge!$A$2:$A$9,0)),"")))</f>
        <v/>
      </c>
      <c r="I312" s="6">
        <f>IF($D312="Custom","",IFERROR(XLOOKUP($B312&amp;"|"&amp;$D312,ShiftKnowledge!$A$2:$A$9,ShiftKnowledge!$F$2:$F$9,""),IFERROR(INDEX(ShiftKnowledge!$F$2:$F$9,MATCH($B312&amp;"|"&amp;$D312,ShiftKnowledge!$A$2:$A$9,0)),"")))</f>
        <v/>
      </c>
      <c r="J312" s="6">
        <f>IF($D312="Custom","",IFERROR(XLOOKUP($B312&amp;"|"&amp;$D312,ShiftKnowledge!$A$2:$A$9,ShiftKnowledge!$G$2:$G$9,""),IFERROR(INDEX(ShiftKnowledge!$G$2:$G$9,MATCH($B312&amp;"|"&amp;$D312,ShiftKnowledge!$A$2:$A$9,0)),"")))</f>
        <v/>
      </c>
      <c r="K312" s="6">
        <f>IF($D312="Custom","",IFERROR(XLOOKUP($B312&amp;"|"&amp;$D312,ShiftKnowledge!$A$2:$A$9,ShiftKnowledge!$H$2:$H$9,""),IFERROR(INDEX(ShiftKnowledge!$H$2:$H$9,MATCH($B312&amp;"|"&amp;$D312,ShiftKnowledge!$A$2:$A$9,0)),"")))</f>
        <v/>
      </c>
      <c r="L312" s="6">
        <f>IF($D312="Custom","",IFERROR(XLOOKUP($B312&amp;"|"&amp;$D312,ShiftKnowledge!$A$2:$A$9,ShiftKnowledge!$I$2:$I$9,""),IFERROR(INDEX(ShiftKnowledge!$I$2:$I$9,MATCH($B312&amp;"|"&amp;$D312,ShiftKnowledge!$A$2:$A$9,0)),"")))</f>
        <v/>
      </c>
      <c r="M312" s="6" t="inlineStr"/>
    </row>
    <row r="313" ht="20" customHeight="1">
      <c r="A313" s="4" t="inlineStr">
        <is>
          <t>16/11/2025</t>
        </is>
      </c>
      <c r="B313" s="4" t="inlineStr">
        <is>
          <t>Pulmonology</t>
        </is>
      </c>
      <c r="C313" s="5" t="inlineStr">
        <is>
          <t>Dr. Ahmed Gamal Youssef Meselhi</t>
        </is>
      </c>
      <c r="D313" s="4" t="inlineStr"/>
      <c r="E313" s="4">
        <f>IF($D313="Custom","",IFERROR(XLOOKUP($B313&amp;"|"&amp;$D313,ShiftKnowledge!$A$2:$A$9,ShiftKnowledge!$D$2:$D$9,""),IFERROR(INDEX(ShiftKnowledge!$D$2:$D$9,MATCH($B313&amp;"|"&amp;$D313,ShiftKnowledge!$A$2:$A$9,0)),"")))</f>
        <v/>
      </c>
      <c r="F313" s="4" t="inlineStr"/>
      <c r="G313" s="4">
        <f>IF(AND($I313="",$L313=""),"",IFERROR(VALUE($I313),0)+IFERROR(VALUE($L313),0))</f>
        <v/>
      </c>
      <c r="H313" s="4">
        <f>IF($D313="Custom","",IFERROR(XLOOKUP($B313&amp;"|"&amp;$D313,ShiftKnowledge!$A$2:$A$9,ShiftKnowledge!$E$2:$E$9,""),IFERROR(INDEX(ShiftKnowledge!$E$2:$E$9,MATCH($B313&amp;"|"&amp;$D313,ShiftKnowledge!$A$2:$A$9,0)),"")))</f>
        <v/>
      </c>
      <c r="I313" s="4">
        <f>IF($D313="Custom","",IFERROR(XLOOKUP($B313&amp;"|"&amp;$D313,ShiftKnowledge!$A$2:$A$9,ShiftKnowledge!$F$2:$F$9,""),IFERROR(INDEX(ShiftKnowledge!$F$2:$F$9,MATCH($B313&amp;"|"&amp;$D313,ShiftKnowledge!$A$2:$A$9,0)),"")))</f>
        <v/>
      </c>
      <c r="J313" s="4">
        <f>IF($D313="Custom","",IFERROR(XLOOKUP($B313&amp;"|"&amp;$D313,ShiftKnowledge!$A$2:$A$9,ShiftKnowledge!$G$2:$G$9,""),IFERROR(INDEX(ShiftKnowledge!$G$2:$G$9,MATCH($B313&amp;"|"&amp;$D313,ShiftKnowledge!$A$2:$A$9,0)),"")))</f>
        <v/>
      </c>
      <c r="K313" s="4">
        <f>IF($D313="Custom","",IFERROR(XLOOKUP($B313&amp;"|"&amp;$D313,ShiftKnowledge!$A$2:$A$9,ShiftKnowledge!$H$2:$H$9,""),IFERROR(INDEX(ShiftKnowledge!$H$2:$H$9,MATCH($B313&amp;"|"&amp;$D313,ShiftKnowledge!$A$2:$A$9,0)),"")))</f>
        <v/>
      </c>
      <c r="L313" s="4">
        <f>IF($D313="Custom","",IFERROR(XLOOKUP($B313&amp;"|"&amp;$D313,ShiftKnowledge!$A$2:$A$9,ShiftKnowledge!$I$2:$I$9,""),IFERROR(INDEX(ShiftKnowledge!$I$2:$I$9,MATCH($B313&amp;"|"&amp;$D313,ShiftKnowledge!$A$2:$A$9,0)),"")))</f>
        <v/>
      </c>
      <c r="M313" s="4" t="inlineStr"/>
    </row>
    <row r="314" ht="20" customHeight="1">
      <c r="A314" s="6" t="inlineStr">
        <is>
          <t>16/11/2025</t>
        </is>
      </c>
      <c r="B314" s="6" t="inlineStr">
        <is>
          <t>Dental</t>
        </is>
      </c>
      <c r="C314" s="7" t="inlineStr">
        <is>
          <t>Dr. Aishath Suha Ali</t>
        </is>
      </c>
      <c r="D314" s="6" t="inlineStr"/>
      <c r="E314" s="6">
        <f>IF($D314="Custom","",IFERROR(XLOOKUP($B314&amp;"|"&amp;$D314,ShiftKnowledge!$A$2:$A$9,ShiftKnowledge!$D$2:$D$9,""),IFERROR(INDEX(ShiftKnowledge!$D$2:$D$9,MATCH($B314&amp;"|"&amp;$D314,ShiftKnowledge!$A$2:$A$9,0)),"")))</f>
        <v/>
      </c>
      <c r="F314" s="6" t="inlineStr"/>
      <c r="G314" s="6">
        <f>IF(AND($I314="",$L314=""),"",IFERROR(VALUE($I314),0)+IFERROR(VALUE($L314),0))</f>
        <v/>
      </c>
      <c r="H314" s="6">
        <f>IF($D314="Custom","",IFERROR(XLOOKUP($B314&amp;"|"&amp;$D314,ShiftKnowledge!$A$2:$A$9,ShiftKnowledge!$E$2:$E$9,""),IFERROR(INDEX(ShiftKnowledge!$E$2:$E$9,MATCH($B314&amp;"|"&amp;$D314,ShiftKnowledge!$A$2:$A$9,0)),"")))</f>
        <v/>
      </c>
      <c r="I314" s="6">
        <f>IF($D314="Custom","",IFERROR(XLOOKUP($B314&amp;"|"&amp;$D314,ShiftKnowledge!$A$2:$A$9,ShiftKnowledge!$F$2:$F$9,""),IFERROR(INDEX(ShiftKnowledge!$F$2:$F$9,MATCH($B314&amp;"|"&amp;$D314,ShiftKnowledge!$A$2:$A$9,0)),"")))</f>
        <v/>
      </c>
      <c r="J314" s="6">
        <f>IF($D314="Custom","",IFERROR(XLOOKUP($B314&amp;"|"&amp;$D314,ShiftKnowledge!$A$2:$A$9,ShiftKnowledge!$G$2:$G$9,""),IFERROR(INDEX(ShiftKnowledge!$G$2:$G$9,MATCH($B314&amp;"|"&amp;$D314,ShiftKnowledge!$A$2:$A$9,0)),"")))</f>
        <v/>
      </c>
      <c r="K314" s="6">
        <f>IF($D314="Custom","",IFERROR(XLOOKUP($B314&amp;"|"&amp;$D314,ShiftKnowledge!$A$2:$A$9,ShiftKnowledge!$H$2:$H$9,""),IFERROR(INDEX(ShiftKnowledge!$H$2:$H$9,MATCH($B314&amp;"|"&amp;$D314,ShiftKnowledge!$A$2:$A$9,0)),"")))</f>
        <v/>
      </c>
      <c r="L314" s="6">
        <f>IF($D314="Custom","",IFERROR(XLOOKUP($B314&amp;"|"&amp;$D314,ShiftKnowledge!$A$2:$A$9,ShiftKnowledge!$I$2:$I$9,""),IFERROR(INDEX(ShiftKnowledge!$I$2:$I$9,MATCH($B314&amp;"|"&amp;$D314,ShiftKnowledge!$A$2:$A$9,0)),"")))</f>
        <v/>
      </c>
      <c r="M314" s="6" t="inlineStr"/>
    </row>
    <row r="315" ht="20" customHeight="1">
      <c r="A315" s="4" t="inlineStr">
        <is>
          <t>16/11/2025</t>
        </is>
      </c>
      <c r="B315" s="4" t="inlineStr">
        <is>
          <t>Paediatrics</t>
        </is>
      </c>
      <c r="C315" s="5" t="inlineStr">
        <is>
          <t>Dr. Alaa Adel Ahmed Sayed Ahmed Sobeih Elamawey</t>
        </is>
      </c>
      <c r="D315" s="4" t="inlineStr"/>
      <c r="E315" s="4">
        <f>IF($D315="Custom","",IFERROR(XLOOKUP($B315&amp;"|"&amp;$D315,ShiftKnowledge!$A$2:$A$9,ShiftKnowledge!$D$2:$D$9,""),IFERROR(INDEX(ShiftKnowledge!$D$2:$D$9,MATCH($B315&amp;"|"&amp;$D315,ShiftKnowledge!$A$2:$A$9,0)),"")))</f>
        <v/>
      </c>
      <c r="F315" s="4" t="inlineStr"/>
      <c r="G315" s="4">
        <f>IF(AND($I315="",$L315=""),"",IFERROR(VALUE($I315),0)+IFERROR(VALUE($L315),0))</f>
        <v/>
      </c>
      <c r="H315" s="4">
        <f>IF($D315="Custom","",IFERROR(XLOOKUP($B315&amp;"|"&amp;$D315,ShiftKnowledge!$A$2:$A$9,ShiftKnowledge!$E$2:$E$9,""),IFERROR(INDEX(ShiftKnowledge!$E$2:$E$9,MATCH($B315&amp;"|"&amp;$D315,ShiftKnowledge!$A$2:$A$9,0)),"")))</f>
        <v/>
      </c>
      <c r="I315" s="4">
        <f>IF($D315="Custom","",IFERROR(XLOOKUP($B315&amp;"|"&amp;$D315,ShiftKnowledge!$A$2:$A$9,ShiftKnowledge!$F$2:$F$9,""),IFERROR(INDEX(ShiftKnowledge!$F$2:$F$9,MATCH($B315&amp;"|"&amp;$D315,ShiftKnowledge!$A$2:$A$9,0)),"")))</f>
        <v/>
      </c>
      <c r="J315" s="4">
        <f>IF($D315="Custom","",IFERROR(XLOOKUP($B315&amp;"|"&amp;$D315,ShiftKnowledge!$A$2:$A$9,ShiftKnowledge!$G$2:$G$9,""),IFERROR(INDEX(ShiftKnowledge!$G$2:$G$9,MATCH($B315&amp;"|"&amp;$D315,ShiftKnowledge!$A$2:$A$9,0)),"")))</f>
        <v/>
      </c>
      <c r="K315" s="4">
        <f>IF($D315="Custom","",IFERROR(XLOOKUP($B315&amp;"|"&amp;$D315,ShiftKnowledge!$A$2:$A$9,ShiftKnowledge!$H$2:$H$9,""),IFERROR(INDEX(ShiftKnowledge!$H$2:$H$9,MATCH($B315&amp;"|"&amp;$D315,ShiftKnowledge!$A$2:$A$9,0)),"")))</f>
        <v/>
      </c>
      <c r="L315" s="4">
        <f>IF($D315="Custom","",IFERROR(XLOOKUP($B315&amp;"|"&amp;$D315,ShiftKnowledge!$A$2:$A$9,ShiftKnowledge!$I$2:$I$9,""),IFERROR(INDEX(ShiftKnowledge!$I$2:$I$9,MATCH($B315&amp;"|"&amp;$D315,ShiftKnowledge!$A$2:$A$9,0)),"")))</f>
        <v/>
      </c>
      <c r="M315" s="4" t="inlineStr"/>
    </row>
    <row r="316" ht="20" customHeight="1">
      <c r="A316" s="6" t="inlineStr">
        <is>
          <t>16/11/2025</t>
        </is>
      </c>
      <c r="B316" s="6" t="inlineStr">
        <is>
          <t>Paediatrics</t>
        </is>
      </c>
      <c r="C316" s="7" t="inlineStr">
        <is>
          <t>Dr. Alisha Joshi</t>
        </is>
      </c>
      <c r="D316" s="6" t="inlineStr"/>
      <c r="E316" s="6">
        <f>IF($D316="Custom","",IFERROR(XLOOKUP($B316&amp;"|"&amp;$D316,ShiftKnowledge!$A$2:$A$9,ShiftKnowledge!$D$2:$D$9,""),IFERROR(INDEX(ShiftKnowledge!$D$2:$D$9,MATCH($B316&amp;"|"&amp;$D316,ShiftKnowledge!$A$2:$A$9,0)),"")))</f>
        <v/>
      </c>
      <c r="F316" s="6" t="inlineStr"/>
      <c r="G316" s="6">
        <f>IF(AND($I316="",$L316=""),"",IFERROR(VALUE($I316),0)+IFERROR(VALUE($L316),0))</f>
        <v/>
      </c>
      <c r="H316" s="6">
        <f>IF($D316="Custom","",IFERROR(XLOOKUP($B316&amp;"|"&amp;$D316,ShiftKnowledge!$A$2:$A$9,ShiftKnowledge!$E$2:$E$9,""),IFERROR(INDEX(ShiftKnowledge!$E$2:$E$9,MATCH($B316&amp;"|"&amp;$D316,ShiftKnowledge!$A$2:$A$9,0)),"")))</f>
        <v/>
      </c>
      <c r="I316" s="6">
        <f>IF($D316="Custom","",IFERROR(XLOOKUP($B316&amp;"|"&amp;$D316,ShiftKnowledge!$A$2:$A$9,ShiftKnowledge!$F$2:$F$9,""),IFERROR(INDEX(ShiftKnowledge!$F$2:$F$9,MATCH($B316&amp;"|"&amp;$D316,ShiftKnowledge!$A$2:$A$9,0)),"")))</f>
        <v/>
      </c>
      <c r="J316" s="6">
        <f>IF($D316="Custom","",IFERROR(XLOOKUP($B316&amp;"|"&amp;$D316,ShiftKnowledge!$A$2:$A$9,ShiftKnowledge!$G$2:$G$9,""),IFERROR(INDEX(ShiftKnowledge!$G$2:$G$9,MATCH($B316&amp;"|"&amp;$D316,ShiftKnowledge!$A$2:$A$9,0)),"")))</f>
        <v/>
      </c>
      <c r="K316" s="6">
        <f>IF($D316="Custom","",IFERROR(XLOOKUP($B316&amp;"|"&amp;$D316,ShiftKnowledge!$A$2:$A$9,ShiftKnowledge!$H$2:$H$9,""),IFERROR(INDEX(ShiftKnowledge!$H$2:$H$9,MATCH($B316&amp;"|"&amp;$D316,ShiftKnowledge!$A$2:$A$9,0)),"")))</f>
        <v/>
      </c>
      <c r="L316" s="6">
        <f>IF($D316="Custom","",IFERROR(XLOOKUP($B316&amp;"|"&amp;$D316,ShiftKnowledge!$A$2:$A$9,ShiftKnowledge!$I$2:$I$9,""),IFERROR(INDEX(ShiftKnowledge!$I$2:$I$9,MATCH($B316&amp;"|"&amp;$D316,ShiftKnowledge!$A$2:$A$9,0)),"")))</f>
        <v/>
      </c>
      <c r="M316" s="6" t="inlineStr"/>
    </row>
    <row r="317" ht="20" customHeight="1">
      <c r="A317" s="4" t="inlineStr">
        <is>
          <t>16/11/2025</t>
        </is>
      </c>
      <c r="B317" s="4" t="inlineStr">
        <is>
          <t>Dental</t>
        </is>
      </c>
      <c r="C317" s="5" t="inlineStr">
        <is>
          <t>Dr. Aminath Dhunyana</t>
        </is>
      </c>
      <c r="D317" s="4" t="inlineStr"/>
      <c r="E317" s="4">
        <f>IF($D317="Custom","",IFERROR(XLOOKUP($B317&amp;"|"&amp;$D317,ShiftKnowledge!$A$2:$A$9,ShiftKnowledge!$D$2:$D$9,""),IFERROR(INDEX(ShiftKnowledge!$D$2:$D$9,MATCH($B317&amp;"|"&amp;$D317,ShiftKnowledge!$A$2:$A$9,0)),"")))</f>
        <v/>
      </c>
      <c r="F317" s="4" t="inlineStr"/>
      <c r="G317" s="4">
        <f>IF(AND($I317="",$L317=""),"",IFERROR(VALUE($I317),0)+IFERROR(VALUE($L317),0))</f>
        <v/>
      </c>
      <c r="H317" s="4">
        <f>IF($D317="Custom","",IFERROR(XLOOKUP($B317&amp;"|"&amp;$D317,ShiftKnowledge!$A$2:$A$9,ShiftKnowledge!$E$2:$E$9,""),IFERROR(INDEX(ShiftKnowledge!$E$2:$E$9,MATCH($B317&amp;"|"&amp;$D317,ShiftKnowledge!$A$2:$A$9,0)),"")))</f>
        <v/>
      </c>
      <c r="I317" s="4">
        <f>IF($D317="Custom","",IFERROR(XLOOKUP($B317&amp;"|"&amp;$D317,ShiftKnowledge!$A$2:$A$9,ShiftKnowledge!$F$2:$F$9,""),IFERROR(INDEX(ShiftKnowledge!$F$2:$F$9,MATCH($B317&amp;"|"&amp;$D317,ShiftKnowledge!$A$2:$A$9,0)),"")))</f>
        <v/>
      </c>
      <c r="J317" s="4">
        <f>IF($D317="Custom","",IFERROR(XLOOKUP($B317&amp;"|"&amp;$D317,ShiftKnowledge!$A$2:$A$9,ShiftKnowledge!$G$2:$G$9,""),IFERROR(INDEX(ShiftKnowledge!$G$2:$G$9,MATCH($B317&amp;"|"&amp;$D317,ShiftKnowledge!$A$2:$A$9,0)),"")))</f>
        <v/>
      </c>
      <c r="K317" s="4">
        <f>IF($D317="Custom","",IFERROR(XLOOKUP($B317&amp;"|"&amp;$D317,ShiftKnowledge!$A$2:$A$9,ShiftKnowledge!$H$2:$H$9,""),IFERROR(INDEX(ShiftKnowledge!$H$2:$H$9,MATCH($B317&amp;"|"&amp;$D317,ShiftKnowledge!$A$2:$A$9,0)),"")))</f>
        <v/>
      </c>
      <c r="L317" s="4">
        <f>IF($D317="Custom","",IFERROR(XLOOKUP($B317&amp;"|"&amp;$D317,ShiftKnowledge!$A$2:$A$9,ShiftKnowledge!$I$2:$I$9,""),IFERROR(INDEX(ShiftKnowledge!$I$2:$I$9,MATCH($B317&amp;"|"&amp;$D317,ShiftKnowledge!$A$2:$A$9,0)),"")))</f>
        <v/>
      </c>
      <c r="M317" s="4" t="inlineStr"/>
    </row>
    <row r="318" ht="20" customHeight="1">
      <c r="A318" s="6" t="inlineStr">
        <is>
          <t>16/11/2025</t>
        </is>
      </c>
      <c r="B318" s="6" t="inlineStr">
        <is>
          <t>Gynaecology</t>
        </is>
      </c>
      <c r="C318" s="7" t="inlineStr">
        <is>
          <t>Dr. Aminath Juhaina</t>
        </is>
      </c>
      <c r="D318" s="6" t="inlineStr"/>
      <c r="E318" s="6">
        <f>IF($D318="Custom","",IFERROR(XLOOKUP($B318&amp;"|"&amp;$D318,ShiftKnowledge!$A$2:$A$9,ShiftKnowledge!$D$2:$D$9,""),IFERROR(INDEX(ShiftKnowledge!$D$2:$D$9,MATCH($B318&amp;"|"&amp;$D318,ShiftKnowledge!$A$2:$A$9,0)),"")))</f>
        <v/>
      </c>
      <c r="F318" s="6" t="inlineStr"/>
      <c r="G318" s="6">
        <f>IF(AND($I318="",$L318=""),"",IFERROR(VALUE($I318),0)+IFERROR(VALUE($L318),0))</f>
        <v/>
      </c>
      <c r="H318" s="6">
        <f>IF($D318="Custom","",IFERROR(XLOOKUP($B318&amp;"|"&amp;$D318,ShiftKnowledge!$A$2:$A$9,ShiftKnowledge!$E$2:$E$9,""),IFERROR(INDEX(ShiftKnowledge!$E$2:$E$9,MATCH($B318&amp;"|"&amp;$D318,ShiftKnowledge!$A$2:$A$9,0)),"")))</f>
        <v/>
      </c>
      <c r="I318" s="6">
        <f>IF($D318="Custom","",IFERROR(XLOOKUP($B318&amp;"|"&amp;$D318,ShiftKnowledge!$A$2:$A$9,ShiftKnowledge!$F$2:$F$9,""),IFERROR(INDEX(ShiftKnowledge!$F$2:$F$9,MATCH($B318&amp;"|"&amp;$D318,ShiftKnowledge!$A$2:$A$9,0)),"")))</f>
        <v/>
      </c>
      <c r="J318" s="6">
        <f>IF($D318="Custom","",IFERROR(XLOOKUP($B318&amp;"|"&amp;$D318,ShiftKnowledge!$A$2:$A$9,ShiftKnowledge!$G$2:$G$9,""),IFERROR(INDEX(ShiftKnowledge!$G$2:$G$9,MATCH($B318&amp;"|"&amp;$D318,ShiftKnowledge!$A$2:$A$9,0)),"")))</f>
        <v/>
      </c>
      <c r="K318" s="6">
        <f>IF($D318="Custom","",IFERROR(XLOOKUP($B318&amp;"|"&amp;$D318,ShiftKnowledge!$A$2:$A$9,ShiftKnowledge!$H$2:$H$9,""),IFERROR(INDEX(ShiftKnowledge!$H$2:$H$9,MATCH($B318&amp;"|"&amp;$D318,ShiftKnowledge!$A$2:$A$9,0)),"")))</f>
        <v/>
      </c>
      <c r="L318" s="6">
        <f>IF($D318="Custom","",IFERROR(XLOOKUP($B318&amp;"|"&amp;$D318,ShiftKnowledge!$A$2:$A$9,ShiftKnowledge!$I$2:$I$9,""),IFERROR(INDEX(ShiftKnowledge!$I$2:$I$9,MATCH($B318&amp;"|"&amp;$D318,ShiftKnowledge!$A$2:$A$9,0)),"")))</f>
        <v/>
      </c>
      <c r="M318" s="6" t="inlineStr"/>
    </row>
    <row r="319" ht="20" customHeight="1">
      <c r="A319" s="4" t="inlineStr">
        <is>
          <t>16/11/2025</t>
        </is>
      </c>
      <c r="B319" s="4" t="inlineStr">
        <is>
          <t>Dental</t>
        </is>
      </c>
      <c r="C319" s="5" t="inlineStr">
        <is>
          <t>Dr. Aminath Khazna Musthafa</t>
        </is>
      </c>
      <c r="D319" s="4" t="inlineStr"/>
      <c r="E319" s="4">
        <f>IF($D319="Custom","",IFERROR(XLOOKUP($B319&amp;"|"&amp;$D319,ShiftKnowledge!$A$2:$A$9,ShiftKnowledge!$D$2:$D$9,""),IFERROR(INDEX(ShiftKnowledge!$D$2:$D$9,MATCH($B319&amp;"|"&amp;$D319,ShiftKnowledge!$A$2:$A$9,0)),"")))</f>
        <v/>
      </c>
      <c r="F319" s="4" t="inlineStr"/>
      <c r="G319" s="4">
        <f>IF(AND($I319="",$L319=""),"",IFERROR(VALUE($I319),0)+IFERROR(VALUE($L319),0))</f>
        <v/>
      </c>
      <c r="H319" s="4">
        <f>IF($D319="Custom","",IFERROR(XLOOKUP($B319&amp;"|"&amp;$D319,ShiftKnowledge!$A$2:$A$9,ShiftKnowledge!$E$2:$E$9,""),IFERROR(INDEX(ShiftKnowledge!$E$2:$E$9,MATCH($B319&amp;"|"&amp;$D319,ShiftKnowledge!$A$2:$A$9,0)),"")))</f>
        <v/>
      </c>
      <c r="I319" s="4">
        <f>IF($D319="Custom","",IFERROR(XLOOKUP($B319&amp;"|"&amp;$D319,ShiftKnowledge!$A$2:$A$9,ShiftKnowledge!$F$2:$F$9,""),IFERROR(INDEX(ShiftKnowledge!$F$2:$F$9,MATCH($B319&amp;"|"&amp;$D319,ShiftKnowledge!$A$2:$A$9,0)),"")))</f>
        <v/>
      </c>
      <c r="J319" s="4">
        <f>IF($D319="Custom","",IFERROR(XLOOKUP($B319&amp;"|"&amp;$D319,ShiftKnowledge!$A$2:$A$9,ShiftKnowledge!$G$2:$G$9,""),IFERROR(INDEX(ShiftKnowledge!$G$2:$G$9,MATCH($B319&amp;"|"&amp;$D319,ShiftKnowledge!$A$2:$A$9,0)),"")))</f>
        <v/>
      </c>
      <c r="K319" s="4">
        <f>IF($D319="Custom","",IFERROR(XLOOKUP($B319&amp;"|"&amp;$D319,ShiftKnowledge!$A$2:$A$9,ShiftKnowledge!$H$2:$H$9,""),IFERROR(INDEX(ShiftKnowledge!$H$2:$H$9,MATCH($B319&amp;"|"&amp;$D319,ShiftKnowledge!$A$2:$A$9,0)),"")))</f>
        <v/>
      </c>
      <c r="L319" s="4">
        <f>IF($D319="Custom","",IFERROR(XLOOKUP($B319&amp;"|"&amp;$D319,ShiftKnowledge!$A$2:$A$9,ShiftKnowledge!$I$2:$I$9,""),IFERROR(INDEX(ShiftKnowledge!$I$2:$I$9,MATCH($B319&amp;"|"&amp;$D319,ShiftKnowledge!$A$2:$A$9,0)),"")))</f>
        <v/>
      </c>
      <c r="M319" s="4" t="inlineStr"/>
    </row>
    <row r="320" ht="20" customHeight="1">
      <c r="A320" s="6" t="inlineStr">
        <is>
          <t>16/11/2025</t>
        </is>
      </c>
      <c r="B320" s="6" t="inlineStr">
        <is>
          <t>Internal Medicine</t>
        </is>
      </c>
      <c r="C320" s="7" t="inlineStr">
        <is>
          <t>Dr. Aminath Munaza</t>
        </is>
      </c>
      <c r="D320" s="6" t="inlineStr"/>
      <c r="E320" s="6">
        <f>IF($D320="Custom","",IFERROR(XLOOKUP($B320&amp;"|"&amp;$D320,ShiftKnowledge!$A$2:$A$9,ShiftKnowledge!$D$2:$D$9,""),IFERROR(INDEX(ShiftKnowledge!$D$2:$D$9,MATCH($B320&amp;"|"&amp;$D320,ShiftKnowledge!$A$2:$A$9,0)),"")))</f>
        <v/>
      </c>
      <c r="F320" s="6" t="inlineStr"/>
      <c r="G320" s="6">
        <f>IF(AND($I320="",$L320=""),"",IFERROR(VALUE($I320),0)+IFERROR(VALUE($L320),0))</f>
        <v/>
      </c>
      <c r="H320" s="6">
        <f>IF($D320="Custom","",IFERROR(XLOOKUP($B320&amp;"|"&amp;$D320,ShiftKnowledge!$A$2:$A$9,ShiftKnowledge!$E$2:$E$9,""),IFERROR(INDEX(ShiftKnowledge!$E$2:$E$9,MATCH($B320&amp;"|"&amp;$D320,ShiftKnowledge!$A$2:$A$9,0)),"")))</f>
        <v/>
      </c>
      <c r="I320" s="6">
        <f>IF($D320="Custom","",IFERROR(XLOOKUP($B320&amp;"|"&amp;$D320,ShiftKnowledge!$A$2:$A$9,ShiftKnowledge!$F$2:$F$9,""),IFERROR(INDEX(ShiftKnowledge!$F$2:$F$9,MATCH($B320&amp;"|"&amp;$D320,ShiftKnowledge!$A$2:$A$9,0)),"")))</f>
        <v/>
      </c>
      <c r="J320" s="6">
        <f>IF($D320="Custom","",IFERROR(XLOOKUP($B320&amp;"|"&amp;$D320,ShiftKnowledge!$A$2:$A$9,ShiftKnowledge!$G$2:$G$9,""),IFERROR(INDEX(ShiftKnowledge!$G$2:$G$9,MATCH($B320&amp;"|"&amp;$D320,ShiftKnowledge!$A$2:$A$9,0)),"")))</f>
        <v/>
      </c>
      <c r="K320" s="6">
        <f>IF($D320="Custom","",IFERROR(XLOOKUP($B320&amp;"|"&amp;$D320,ShiftKnowledge!$A$2:$A$9,ShiftKnowledge!$H$2:$H$9,""),IFERROR(INDEX(ShiftKnowledge!$H$2:$H$9,MATCH($B320&amp;"|"&amp;$D320,ShiftKnowledge!$A$2:$A$9,0)),"")))</f>
        <v/>
      </c>
      <c r="L320" s="6">
        <f>IF($D320="Custom","",IFERROR(XLOOKUP($B320&amp;"|"&amp;$D320,ShiftKnowledge!$A$2:$A$9,ShiftKnowledge!$I$2:$I$9,""),IFERROR(INDEX(ShiftKnowledge!$I$2:$I$9,MATCH($B320&amp;"|"&amp;$D320,ShiftKnowledge!$A$2:$A$9,0)),"")))</f>
        <v/>
      </c>
      <c r="M320" s="6" t="inlineStr"/>
    </row>
    <row r="321" ht="20" customHeight="1">
      <c r="A321" s="4" t="inlineStr">
        <is>
          <t>16/11/2025</t>
        </is>
      </c>
      <c r="B321" s="4" t="inlineStr">
        <is>
          <t>Psychiatry</t>
        </is>
      </c>
      <c r="C321" s="5" t="inlineStr">
        <is>
          <t>Dr. Anas Mohamed Anwar Ahmed Ali</t>
        </is>
      </c>
      <c r="D321" s="4" t="inlineStr"/>
      <c r="E321" s="4">
        <f>IF($D321="Custom","",IFERROR(XLOOKUP($B321&amp;"|"&amp;$D321,ShiftKnowledge!$A$2:$A$9,ShiftKnowledge!$D$2:$D$9,""),IFERROR(INDEX(ShiftKnowledge!$D$2:$D$9,MATCH($B321&amp;"|"&amp;$D321,ShiftKnowledge!$A$2:$A$9,0)),"")))</f>
        <v/>
      </c>
      <c r="F321" s="4" t="inlineStr"/>
      <c r="G321" s="4">
        <f>IF(AND($I321="",$L321=""),"",IFERROR(VALUE($I321),0)+IFERROR(VALUE($L321),0))</f>
        <v/>
      </c>
      <c r="H321" s="4">
        <f>IF($D321="Custom","",IFERROR(XLOOKUP($B321&amp;"|"&amp;$D321,ShiftKnowledge!$A$2:$A$9,ShiftKnowledge!$E$2:$E$9,""),IFERROR(INDEX(ShiftKnowledge!$E$2:$E$9,MATCH($B321&amp;"|"&amp;$D321,ShiftKnowledge!$A$2:$A$9,0)),"")))</f>
        <v/>
      </c>
      <c r="I321" s="4">
        <f>IF($D321="Custom","",IFERROR(XLOOKUP($B321&amp;"|"&amp;$D321,ShiftKnowledge!$A$2:$A$9,ShiftKnowledge!$F$2:$F$9,""),IFERROR(INDEX(ShiftKnowledge!$F$2:$F$9,MATCH($B321&amp;"|"&amp;$D321,ShiftKnowledge!$A$2:$A$9,0)),"")))</f>
        <v/>
      </c>
      <c r="J321" s="4">
        <f>IF($D321="Custom","",IFERROR(XLOOKUP($B321&amp;"|"&amp;$D321,ShiftKnowledge!$A$2:$A$9,ShiftKnowledge!$G$2:$G$9,""),IFERROR(INDEX(ShiftKnowledge!$G$2:$G$9,MATCH($B321&amp;"|"&amp;$D321,ShiftKnowledge!$A$2:$A$9,0)),"")))</f>
        <v/>
      </c>
      <c r="K321" s="4">
        <f>IF($D321="Custom","",IFERROR(XLOOKUP($B321&amp;"|"&amp;$D321,ShiftKnowledge!$A$2:$A$9,ShiftKnowledge!$H$2:$H$9,""),IFERROR(INDEX(ShiftKnowledge!$H$2:$H$9,MATCH($B321&amp;"|"&amp;$D321,ShiftKnowledge!$A$2:$A$9,0)),"")))</f>
        <v/>
      </c>
      <c r="L321" s="4">
        <f>IF($D321="Custom","",IFERROR(XLOOKUP($B321&amp;"|"&amp;$D321,ShiftKnowledge!$A$2:$A$9,ShiftKnowledge!$I$2:$I$9,""),IFERROR(INDEX(ShiftKnowledge!$I$2:$I$9,MATCH($B321&amp;"|"&amp;$D321,ShiftKnowledge!$A$2:$A$9,0)),"")))</f>
        <v/>
      </c>
      <c r="M321" s="4" t="inlineStr"/>
    </row>
    <row r="322" ht="20" customHeight="1">
      <c r="A322" s="6" t="inlineStr">
        <is>
          <t>16/11/2025</t>
        </is>
      </c>
      <c r="B322" s="6" t="inlineStr">
        <is>
          <t>Oral Maxillo facial surgery (OMS)</t>
        </is>
      </c>
      <c r="C322" s="7" t="inlineStr">
        <is>
          <t>Dr. Arpita Singh</t>
        </is>
      </c>
      <c r="D322" s="6" t="inlineStr"/>
      <c r="E322" s="6">
        <f>IF($D322="Custom","",IFERROR(XLOOKUP($B322&amp;"|"&amp;$D322,ShiftKnowledge!$A$2:$A$9,ShiftKnowledge!$D$2:$D$9,""),IFERROR(INDEX(ShiftKnowledge!$D$2:$D$9,MATCH($B322&amp;"|"&amp;$D322,ShiftKnowledge!$A$2:$A$9,0)),"")))</f>
        <v/>
      </c>
      <c r="F322" s="6" t="inlineStr"/>
      <c r="G322" s="6">
        <f>IF(AND($I322="",$L322=""),"",IFERROR(VALUE($I322),0)+IFERROR(VALUE($L322),0))</f>
        <v/>
      </c>
      <c r="H322" s="6">
        <f>IF($D322="Custom","",IFERROR(XLOOKUP($B322&amp;"|"&amp;$D322,ShiftKnowledge!$A$2:$A$9,ShiftKnowledge!$E$2:$E$9,""),IFERROR(INDEX(ShiftKnowledge!$E$2:$E$9,MATCH($B322&amp;"|"&amp;$D322,ShiftKnowledge!$A$2:$A$9,0)),"")))</f>
        <v/>
      </c>
      <c r="I322" s="6">
        <f>IF($D322="Custom","",IFERROR(XLOOKUP($B322&amp;"|"&amp;$D322,ShiftKnowledge!$A$2:$A$9,ShiftKnowledge!$F$2:$F$9,""),IFERROR(INDEX(ShiftKnowledge!$F$2:$F$9,MATCH($B322&amp;"|"&amp;$D322,ShiftKnowledge!$A$2:$A$9,0)),"")))</f>
        <v/>
      </c>
      <c r="J322" s="6">
        <f>IF($D322="Custom","",IFERROR(XLOOKUP($B322&amp;"|"&amp;$D322,ShiftKnowledge!$A$2:$A$9,ShiftKnowledge!$G$2:$G$9,""),IFERROR(INDEX(ShiftKnowledge!$G$2:$G$9,MATCH($B322&amp;"|"&amp;$D322,ShiftKnowledge!$A$2:$A$9,0)),"")))</f>
        <v/>
      </c>
      <c r="K322" s="6">
        <f>IF($D322="Custom","",IFERROR(XLOOKUP($B322&amp;"|"&amp;$D322,ShiftKnowledge!$A$2:$A$9,ShiftKnowledge!$H$2:$H$9,""),IFERROR(INDEX(ShiftKnowledge!$H$2:$H$9,MATCH($B322&amp;"|"&amp;$D322,ShiftKnowledge!$A$2:$A$9,0)),"")))</f>
        <v/>
      </c>
      <c r="L322" s="6">
        <f>IF($D322="Custom","",IFERROR(XLOOKUP($B322&amp;"|"&amp;$D322,ShiftKnowledge!$A$2:$A$9,ShiftKnowledge!$I$2:$I$9,""),IFERROR(INDEX(ShiftKnowledge!$I$2:$I$9,MATCH($B322&amp;"|"&amp;$D322,ShiftKnowledge!$A$2:$A$9,0)),"")))</f>
        <v/>
      </c>
      <c r="M322" s="6" t="inlineStr"/>
    </row>
    <row r="323" ht="20" customHeight="1">
      <c r="A323" s="4" t="inlineStr">
        <is>
          <t>16/11/2025</t>
        </is>
      </c>
      <c r="B323" s="4" t="inlineStr">
        <is>
          <t>Orthopaedics</t>
        </is>
      </c>
      <c r="C323" s="5" t="inlineStr">
        <is>
          <t>Dr. Asish Rajak</t>
        </is>
      </c>
      <c r="D323" s="4" t="inlineStr"/>
      <c r="E323" s="4">
        <f>IF($D323="Custom","",IFERROR(XLOOKUP($B323&amp;"|"&amp;$D323,ShiftKnowledge!$A$2:$A$9,ShiftKnowledge!$D$2:$D$9,""),IFERROR(INDEX(ShiftKnowledge!$D$2:$D$9,MATCH($B323&amp;"|"&amp;$D323,ShiftKnowledge!$A$2:$A$9,0)),"")))</f>
        <v/>
      </c>
      <c r="F323" s="4" t="inlineStr"/>
      <c r="G323" s="4">
        <f>IF(AND($I323="",$L323=""),"",IFERROR(VALUE($I323),0)+IFERROR(VALUE($L323),0))</f>
        <v/>
      </c>
      <c r="H323" s="4">
        <f>IF($D323="Custom","",IFERROR(XLOOKUP($B323&amp;"|"&amp;$D323,ShiftKnowledge!$A$2:$A$9,ShiftKnowledge!$E$2:$E$9,""),IFERROR(INDEX(ShiftKnowledge!$E$2:$E$9,MATCH($B323&amp;"|"&amp;$D323,ShiftKnowledge!$A$2:$A$9,0)),"")))</f>
        <v/>
      </c>
      <c r="I323" s="4">
        <f>IF($D323="Custom","",IFERROR(XLOOKUP($B323&amp;"|"&amp;$D323,ShiftKnowledge!$A$2:$A$9,ShiftKnowledge!$F$2:$F$9,""),IFERROR(INDEX(ShiftKnowledge!$F$2:$F$9,MATCH($B323&amp;"|"&amp;$D323,ShiftKnowledge!$A$2:$A$9,0)),"")))</f>
        <v/>
      </c>
      <c r="J323" s="4">
        <f>IF($D323="Custom","",IFERROR(XLOOKUP($B323&amp;"|"&amp;$D323,ShiftKnowledge!$A$2:$A$9,ShiftKnowledge!$G$2:$G$9,""),IFERROR(INDEX(ShiftKnowledge!$G$2:$G$9,MATCH($B323&amp;"|"&amp;$D323,ShiftKnowledge!$A$2:$A$9,0)),"")))</f>
        <v/>
      </c>
      <c r="K323" s="4">
        <f>IF($D323="Custom","",IFERROR(XLOOKUP($B323&amp;"|"&amp;$D323,ShiftKnowledge!$A$2:$A$9,ShiftKnowledge!$H$2:$H$9,""),IFERROR(INDEX(ShiftKnowledge!$H$2:$H$9,MATCH($B323&amp;"|"&amp;$D323,ShiftKnowledge!$A$2:$A$9,0)),"")))</f>
        <v/>
      </c>
      <c r="L323" s="4">
        <f>IF($D323="Custom","",IFERROR(XLOOKUP($B323&amp;"|"&amp;$D323,ShiftKnowledge!$A$2:$A$9,ShiftKnowledge!$I$2:$I$9,""),IFERROR(INDEX(ShiftKnowledge!$I$2:$I$9,MATCH($B323&amp;"|"&amp;$D323,ShiftKnowledge!$A$2:$A$9,0)),"")))</f>
        <v/>
      </c>
      <c r="M323" s="4" t="inlineStr"/>
    </row>
    <row r="324" ht="20" customHeight="1">
      <c r="A324" s="6" t="inlineStr">
        <is>
          <t>16/11/2025</t>
        </is>
      </c>
      <c r="B324" s="6" t="inlineStr">
        <is>
          <t>Dermatology</t>
        </is>
      </c>
      <c r="C324" s="7" t="inlineStr">
        <is>
          <t>Dr. Aya Gamal Kotb Mohamed Elagamy</t>
        </is>
      </c>
      <c r="D324" s="6" t="inlineStr"/>
      <c r="E324" s="6">
        <f>IF($D324="Custom","",IFERROR(XLOOKUP($B324&amp;"|"&amp;$D324,ShiftKnowledge!$A$2:$A$9,ShiftKnowledge!$D$2:$D$9,""),IFERROR(INDEX(ShiftKnowledge!$D$2:$D$9,MATCH($B324&amp;"|"&amp;$D324,ShiftKnowledge!$A$2:$A$9,0)),"")))</f>
        <v/>
      </c>
      <c r="F324" s="6" t="inlineStr"/>
      <c r="G324" s="6">
        <f>IF(AND($I324="",$L324=""),"",IFERROR(VALUE($I324),0)+IFERROR(VALUE($L324),0))</f>
        <v/>
      </c>
      <c r="H324" s="6">
        <f>IF($D324="Custom","",IFERROR(XLOOKUP($B324&amp;"|"&amp;$D324,ShiftKnowledge!$A$2:$A$9,ShiftKnowledge!$E$2:$E$9,""),IFERROR(INDEX(ShiftKnowledge!$E$2:$E$9,MATCH($B324&amp;"|"&amp;$D324,ShiftKnowledge!$A$2:$A$9,0)),"")))</f>
        <v/>
      </c>
      <c r="I324" s="6">
        <f>IF($D324="Custom","",IFERROR(XLOOKUP($B324&amp;"|"&amp;$D324,ShiftKnowledge!$A$2:$A$9,ShiftKnowledge!$F$2:$F$9,""),IFERROR(INDEX(ShiftKnowledge!$F$2:$F$9,MATCH($B324&amp;"|"&amp;$D324,ShiftKnowledge!$A$2:$A$9,0)),"")))</f>
        <v/>
      </c>
      <c r="J324" s="6">
        <f>IF($D324="Custom","",IFERROR(XLOOKUP($B324&amp;"|"&amp;$D324,ShiftKnowledge!$A$2:$A$9,ShiftKnowledge!$G$2:$G$9,""),IFERROR(INDEX(ShiftKnowledge!$G$2:$G$9,MATCH($B324&amp;"|"&amp;$D324,ShiftKnowledge!$A$2:$A$9,0)),"")))</f>
        <v/>
      </c>
      <c r="K324" s="6">
        <f>IF($D324="Custom","",IFERROR(XLOOKUP($B324&amp;"|"&amp;$D324,ShiftKnowledge!$A$2:$A$9,ShiftKnowledge!$H$2:$H$9,""),IFERROR(INDEX(ShiftKnowledge!$H$2:$H$9,MATCH($B324&amp;"|"&amp;$D324,ShiftKnowledge!$A$2:$A$9,0)),"")))</f>
        <v/>
      </c>
      <c r="L324" s="6">
        <f>IF($D324="Custom","",IFERROR(XLOOKUP($B324&amp;"|"&amp;$D324,ShiftKnowledge!$A$2:$A$9,ShiftKnowledge!$I$2:$I$9,""),IFERROR(INDEX(ShiftKnowledge!$I$2:$I$9,MATCH($B324&amp;"|"&amp;$D324,ShiftKnowledge!$A$2:$A$9,0)),"")))</f>
        <v/>
      </c>
      <c r="M324" s="6" t="inlineStr"/>
    </row>
    <row r="325" ht="20" customHeight="1">
      <c r="A325" s="4" t="inlineStr">
        <is>
          <t>16/11/2025</t>
        </is>
      </c>
      <c r="B325" s="4" t="inlineStr">
        <is>
          <t>Dental</t>
        </is>
      </c>
      <c r="C325" s="5" t="inlineStr">
        <is>
          <t>Dr. Benjamin Premkumar</t>
        </is>
      </c>
      <c r="D325" s="4" t="inlineStr"/>
      <c r="E325" s="4">
        <f>IF($D325="Custom","",IFERROR(XLOOKUP($B325&amp;"|"&amp;$D325,ShiftKnowledge!$A$2:$A$9,ShiftKnowledge!$D$2:$D$9,""),IFERROR(INDEX(ShiftKnowledge!$D$2:$D$9,MATCH($B325&amp;"|"&amp;$D325,ShiftKnowledge!$A$2:$A$9,0)),"")))</f>
        <v/>
      </c>
      <c r="F325" s="4" t="inlineStr"/>
      <c r="G325" s="4">
        <f>IF(AND($I325="",$L325=""),"",IFERROR(VALUE($I325),0)+IFERROR(VALUE($L325),0))</f>
        <v/>
      </c>
      <c r="H325" s="4">
        <f>IF($D325="Custom","",IFERROR(XLOOKUP($B325&amp;"|"&amp;$D325,ShiftKnowledge!$A$2:$A$9,ShiftKnowledge!$E$2:$E$9,""),IFERROR(INDEX(ShiftKnowledge!$E$2:$E$9,MATCH($B325&amp;"|"&amp;$D325,ShiftKnowledge!$A$2:$A$9,0)),"")))</f>
        <v/>
      </c>
      <c r="I325" s="4">
        <f>IF($D325="Custom","",IFERROR(XLOOKUP($B325&amp;"|"&amp;$D325,ShiftKnowledge!$A$2:$A$9,ShiftKnowledge!$F$2:$F$9,""),IFERROR(INDEX(ShiftKnowledge!$F$2:$F$9,MATCH($B325&amp;"|"&amp;$D325,ShiftKnowledge!$A$2:$A$9,0)),"")))</f>
        <v/>
      </c>
      <c r="J325" s="4">
        <f>IF($D325="Custom","",IFERROR(XLOOKUP($B325&amp;"|"&amp;$D325,ShiftKnowledge!$A$2:$A$9,ShiftKnowledge!$G$2:$G$9,""),IFERROR(INDEX(ShiftKnowledge!$G$2:$G$9,MATCH($B325&amp;"|"&amp;$D325,ShiftKnowledge!$A$2:$A$9,0)),"")))</f>
        <v/>
      </c>
      <c r="K325" s="4">
        <f>IF($D325="Custom","",IFERROR(XLOOKUP($B325&amp;"|"&amp;$D325,ShiftKnowledge!$A$2:$A$9,ShiftKnowledge!$H$2:$H$9,""),IFERROR(INDEX(ShiftKnowledge!$H$2:$H$9,MATCH($B325&amp;"|"&amp;$D325,ShiftKnowledge!$A$2:$A$9,0)),"")))</f>
        <v/>
      </c>
      <c r="L325" s="4">
        <f>IF($D325="Custom","",IFERROR(XLOOKUP($B325&amp;"|"&amp;$D325,ShiftKnowledge!$A$2:$A$9,ShiftKnowledge!$I$2:$I$9,""),IFERROR(INDEX(ShiftKnowledge!$I$2:$I$9,MATCH($B325&amp;"|"&amp;$D325,ShiftKnowledge!$A$2:$A$9,0)),"")))</f>
        <v/>
      </c>
      <c r="M325" s="4" t="inlineStr"/>
    </row>
    <row r="326" ht="20" customHeight="1">
      <c r="A326" s="6" t="inlineStr">
        <is>
          <t>16/11/2025</t>
        </is>
      </c>
      <c r="B326" s="6" t="inlineStr">
        <is>
          <t>Internal Medicine</t>
        </is>
      </c>
      <c r="C326" s="7" t="inlineStr">
        <is>
          <t>Dr. Cho Thway Mon</t>
        </is>
      </c>
      <c r="D326" s="6" t="inlineStr"/>
      <c r="E326" s="6">
        <f>IF($D326="Custom","",IFERROR(XLOOKUP($B326&amp;"|"&amp;$D326,ShiftKnowledge!$A$2:$A$9,ShiftKnowledge!$D$2:$D$9,""),IFERROR(INDEX(ShiftKnowledge!$D$2:$D$9,MATCH($B326&amp;"|"&amp;$D326,ShiftKnowledge!$A$2:$A$9,0)),"")))</f>
        <v/>
      </c>
      <c r="F326" s="6" t="inlineStr"/>
      <c r="G326" s="6">
        <f>IF(AND($I326="",$L326=""),"",IFERROR(VALUE($I326),0)+IFERROR(VALUE($L326),0))</f>
        <v/>
      </c>
      <c r="H326" s="6">
        <f>IF($D326="Custom","",IFERROR(XLOOKUP($B326&amp;"|"&amp;$D326,ShiftKnowledge!$A$2:$A$9,ShiftKnowledge!$E$2:$E$9,""),IFERROR(INDEX(ShiftKnowledge!$E$2:$E$9,MATCH($B326&amp;"|"&amp;$D326,ShiftKnowledge!$A$2:$A$9,0)),"")))</f>
        <v/>
      </c>
      <c r="I326" s="6">
        <f>IF($D326="Custom","",IFERROR(XLOOKUP($B326&amp;"|"&amp;$D326,ShiftKnowledge!$A$2:$A$9,ShiftKnowledge!$F$2:$F$9,""),IFERROR(INDEX(ShiftKnowledge!$F$2:$F$9,MATCH($B326&amp;"|"&amp;$D326,ShiftKnowledge!$A$2:$A$9,0)),"")))</f>
        <v/>
      </c>
      <c r="J326" s="6">
        <f>IF($D326="Custom","",IFERROR(XLOOKUP($B326&amp;"|"&amp;$D326,ShiftKnowledge!$A$2:$A$9,ShiftKnowledge!$G$2:$G$9,""),IFERROR(INDEX(ShiftKnowledge!$G$2:$G$9,MATCH($B326&amp;"|"&amp;$D326,ShiftKnowledge!$A$2:$A$9,0)),"")))</f>
        <v/>
      </c>
      <c r="K326" s="6">
        <f>IF($D326="Custom","",IFERROR(XLOOKUP($B326&amp;"|"&amp;$D326,ShiftKnowledge!$A$2:$A$9,ShiftKnowledge!$H$2:$H$9,""),IFERROR(INDEX(ShiftKnowledge!$H$2:$H$9,MATCH($B326&amp;"|"&amp;$D326,ShiftKnowledge!$A$2:$A$9,0)),"")))</f>
        <v/>
      </c>
      <c r="L326" s="6">
        <f>IF($D326="Custom","",IFERROR(XLOOKUP($B326&amp;"|"&amp;$D326,ShiftKnowledge!$A$2:$A$9,ShiftKnowledge!$I$2:$I$9,""),IFERROR(INDEX(ShiftKnowledge!$I$2:$I$9,MATCH($B326&amp;"|"&amp;$D326,ShiftKnowledge!$A$2:$A$9,0)),"")))</f>
        <v/>
      </c>
      <c r="M326" s="6" t="inlineStr"/>
    </row>
    <row r="327" ht="20" customHeight="1">
      <c r="A327" s="4" t="inlineStr">
        <is>
          <t>16/11/2025</t>
        </is>
      </c>
      <c r="B327" s="4" t="inlineStr">
        <is>
          <t>Orthopaedics</t>
        </is>
      </c>
      <c r="C327" s="5" t="inlineStr">
        <is>
          <t>Dr. Dinesh Kumar Pandit</t>
        </is>
      </c>
      <c r="D327" s="4" t="inlineStr"/>
      <c r="E327" s="4">
        <f>IF($D327="Custom","",IFERROR(XLOOKUP($B327&amp;"|"&amp;$D327,ShiftKnowledge!$A$2:$A$9,ShiftKnowledge!$D$2:$D$9,""),IFERROR(INDEX(ShiftKnowledge!$D$2:$D$9,MATCH($B327&amp;"|"&amp;$D327,ShiftKnowledge!$A$2:$A$9,0)),"")))</f>
        <v/>
      </c>
      <c r="F327" s="4" t="inlineStr"/>
      <c r="G327" s="4">
        <f>IF(AND($I327="",$L327=""),"",IFERROR(VALUE($I327),0)+IFERROR(VALUE($L327),0))</f>
        <v/>
      </c>
      <c r="H327" s="4">
        <f>IF($D327="Custom","",IFERROR(XLOOKUP($B327&amp;"|"&amp;$D327,ShiftKnowledge!$A$2:$A$9,ShiftKnowledge!$E$2:$E$9,""),IFERROR(INDEX(ShiftKnowledge!$E$2:$E$9,MATCH($B327&amp;"|"&amp;$D327,ShiftKnowledge!$A$2:$A$9,0)),"")))</f>
        <v/>
      </c>
      <c r="I327" s="4">
        <f>IF($D327="Custom","",IFERROR(XLOOKUP($B327&amp;"|"&amp;$D327,ShiftKnowledge!$A$2:$A$9,ShiftKnowledge!$F$2:$F$9,""),IFERROR(INDEX(ShiftKnowledge!$F$2:$F$9,MATCH($B327&amp;"|"&amp;$D327,ShiftKnowledge!$A$2:$A$9,0)),"")))</f>
        <v/>
      </c>
      <c r="J327" s="4">
        <f>IF($D327="Custom","",IFERROR(XLOOKUP($B327&amp;"|"&amp;$D327,ShiftKnowledge!$A$2:$A$9,ShiftKnowledge!$G$2:$G$9,""),IFERROR(INDEX(ShiftKnowledge!$G$2:$G$9,MATCH($B327&amp;"|"&amp;$D327,ShiftKnowledge!$A$2:$A$9,0)),"")))</f>
        <v/>
      </c>
      <c r="K327" s="4">
        <f>IF($D327="Custom","",IFERROR(XLOOKUP($B327&amp;"|"&amp;$D327,ShiftKnowledge!$A$2:$A$9,ShiftKnowledge!$H$2:$H$9,""),IFERROR(INDEX(ShiftKnowledge!$H$2:$H$9,MATCH($B327&amp;"|"&amp;$D327,ShiftKnowledge!$A$2:$A$9,0)),"")))</f>
        <v/>
      </c>
      <c r="L327" s="4">
        <f>IF($D327="Custom","",IFERROR(XLOOKUP($B327&amp;"|"&amp;$D327,ShiftKnowledge!$A$2:$A$9,ShiftKnowledge!$I$2:$I$9,""),IFERROR(INDEX(ShiftKnowledge!$I$2:$I$9,MATCH($B327&amp;"|"&amp;$D327,ShiftKnowledge!$A$2:$A$9,0)),"")))</f>
        <v/>
      </c>
      <c r="M327" s="4" t="inlineStr"/>
    </row>
    <row r="328" ht="20" customHeight="1">
      <c r="A328" s="6" t="inlineStr">
        <is>
          <t>16/11/2025</t>
        </is>
      </c>
      <c r="B328" s="6" t="inlineStr">
        <is>
          <t>Internal Medicine</t>
        </is>
      </c>
      <c r="C328" s="7" t="inlineStr">
        <is>
          <t>Dr. Ei Shwe Yee Myint</t>
        </is>
      </c>
      <c r="D328" s="6" t="inlineStr"/>
      <c r="E328" s="6">
        <f>IF($D328="Custom","",IFERROR(XLOOKUP($B328&amp;"|"&amp;$D328,ShiftKnowledge!$A$2:$A$9,ShiftKnowledge!$D$2:$D$9,""),IFERROR(INDEX(ShiftKnowledge!$D$2:$D$9,MATCH($B328&amp;"|"&amp;$D328,ShiftKnowledge!$A$2:$A$9,0)),"")))</f>
        <v/>
      </c>
      <c r="F328" s="6" t="inlineStr"/>
      <c r="G328" s="6">
        <f>IF(AND($I328="",$L328=""),"",IFERROR(VALUE($I328),0)+IFERROR(VALUE($L328),0))</f>
        <v/>
      </c>
      <c r="H328" s="6">
        <f>IF($D328="Custom","",IFERROR(XLOOKUP($B328&amp;"|"&amp;$D328,ShiftKnowledge!$A$2:$A$9,ShiftKnowledge!$E$2:$E$9,""),IFERROR(INDEX(ShiftKnowledge!$E$2:$E$9,MATCH($B328&amp;"|"&amp;$D328,ShiftKnowledge!$A$2:$A$9,0)),"")))</f>
        <v/>
      </c>
      <c r="I328" s="6">
        <f>IF($D328="Custom","",IFERROR(XLOOKUP($B328&amp;"|"&amp;$D328,ShiftKnowledge!$A$2:$A$9,ShiftKnowledge!$F$2:$F$9,""),IFERROR(INDEX(ShiftKnowledge!$F$2:$F$9,MATCH($B328&amp;"|"&amp;$D328,ShiftKnowledge!$A$2:$A$9,0)),"")))</f>
        <v/>
      </c>
      <c r="J328" s="6">
        <f>IF($D328="Custom","",IFERROR(XLOOKUP($B328&amp;"|"&amp;$D328,ShiftKnowledge!$A$2:$A$9,ShiftKnowledge!$G$2:$G$9,""),IFERROR(INDEX(ShiftKnowledge!$G$2:$G$9,MATCH($B328&amp;"|"&amp;$D328,ShiftKnowledge!$A$2:$A$9,0)),"")))</f>
        <v/>
      </c>
      <c r="K328" s="6">
        <f>IF($D328="Custom","",IFERROR(XLOOKUP($B328&amp;"|"&amp;$D328,ShiftKnowledge!$A$2:$A$9,ShiftKnowledge!$H$2:$H$9,""),IFERROR(INDEX(ShiftKnowledge!$H$2:$H$9,MATCH($B328&amp;"|"&amp;$D328,ShiftKnowledge!$A$2:$A$9,0)),"")))</f>
        <v/>
      </c>
      <c r="L328" s="6">
        <f>IF($D328="Custom","",IFERROR(XLOOKUP($B328&amp;"|"&amp;$D328,ShiftKnowledge!$A$2:$A$9,ShiftKnowledge!$I$2:$I$9,""),IFERROR(INDEX(ShiftKnowledge!$I$2:$I$9,MATCH($B328&amp;"|"&amp;$D328,ShiftKnowledge!$A$2:$A$9,0)),"")))</f>
        <v/>
      </c>
      <c r="M328" s="6" t="inlineStr"/>
    </row>
    <row r="329" ht="20" customHeight="1">
      <c r="A329" s="4" t="inlineStr">
        <is>
          <t>16/11/2025</t>
        </is>
      </c>
      <c r="B329" s="4" t="inlineStr">
        <is>
          <t>Internal Medicine</t>
        </is>
      </c>
      <c r="C329" s="5" t="inlineStr">
        <is>
          <t>Dr. Hatem Hassan Mohamed Abdelhafez</t>
        </is>
      </c>
      <c r="D329" s="4" t="inlineStr"/>
      <c r="E329" s="4">
        <f>IF($D329="Custom","",IFERROR(XLOOKUP($B329&amp;"|"&amp;$D329,ShiftKnowledge!$A$2:$A$9,ShiftKnowledge!$D$2:$D$9,""),IFERROR(INDEX(ShiftKnowledge!$D$2:$D$9,MATCH($B329&amp;"|"&amp;$D329,ShiftKnowledge!$A$2:$A$9,0)),"")))</f>
        <v/>
      </c>
      <c r="F329" s="4" t="inlineStr"/>
      <c r="G329" s="4">
        <f>IF(AND($I329="",$L329=""),"",IFERROR(VALUE($I329),0)+IFERROR(VALUE($L329),0))</f>
        <v/>
      </c>
      <c r="H329" s="4">
        <f>IF($D329="Custom","",IFERROR(XLOOKUP($B329&amp;"|"&amp;$D329,ShiftKnowledge!$A$2:$A$9,ShiftKnowledge!$E$2:$E$9,""),IFERROR(INDEX(ShiftKnowledge!$E$2:$E$9,MATCH($B329&amp;"|"&amp;$D329,ShiftKnowledge!$A$2:$A$9,0)),"")))</f>
        <v/>
      </c>
      <c r="I329" s="4">
        <f>IF($D329="Custom","",IFERROR(XLOOKUP($B329&amp;"|"&amp;$D329,ShiftKnowledge!$A$2:$A$9,ShiftKnowledge!$F$2:$F$9,""),IFERROR(INDEX(ShiftKnowledge!$F$2:$F$9,MATCH($B329&amp;"|"&amp;$D329,ShiftKnowledge!$A$2:$A$9,0)),"")))</f>
        <v/>
      </c>
      <c r="J329" s="4">
        <f>IF($D329="Custom","",IFERROR(XLOOKUP($B329&amp;"|"&amp;$D329,ShiftKnowledge!$A$2:$A$9,ShiftKnowledge!$G$2:$G$9,""),IFERROR(INDEX(ShiftKnowledge!$G$2:$G$9,MATCH($B329&amp;"|"&amp;$D329,ShiftKnowledge!$A$2:$A$9,0)),"")))</f>
        <v/>
      </c>
      <c r="K329" s="4">
        <f>IF($D329="Custom","",IFERROR(XLOOKUP($B329&amp;"|"&amp;$D329,ShiftKnowledge!$A$2:$A$9,ShiftKnowledge!$H$2:$H$9,""),IFERROR(INDEX(ShiftKnowledge!$H$2:$H$9,MATCH($B329&amp;"|"&amp;$D329,ShiftKnowledge!$A$2:$A$9,0)),"")))</f>
        <v/>
      </c>
      <c r="L329" s="4">
        <f>IF($D329="Custom","",IFERROR(XLOOKUP($B329&amp;"|"&amp;$D329,ShiftKnowledge!$A$2:$A$9,ShiftKnowledge!$I$2:$I$9,""),IFERROR(INDEX(ShiftKnowledge!$I$2:$I$9,MATCH($B329&amp;"|"&amp;$D329,ShiftKnowledge!$A$2:$A$9,0)),"")))</f>
        <v/>
      </c>
      <c r="M329" s="4" t="inlineStr"/>
    </row>
    <row r="330" ht="20" customHeight="1">
      <c r="A330" s="6" t="inlineStr">
        <is>
          <t>16/11/2025</t>
        </is>
      </c>
      <c r="B330" s="6" t="inlineStr">
        <is>
          <t>Gynaecology</t>
        </is>
      </c>
      <c r="C330" s="7" t="inlineStr">
        <is>
          <t>Dr. Hawwa Inaya</t>
        </is>
      </c>
      <c r="D330" s="6" t="inlineStr"/>
      <c r="E330" s="6">
        <f>IF($D330="Custom","",IFERROR(XLOOKUP($B330&amp;"|"&amp;$D330,ShiftKnowledge!$A$2:$A$9,ShiftKnowledge!$D$2:$D$9,""),IFERROR(INDEX(ShiftKnowledge!$D$2:$D$9,MATCH($B330&amp;"|"&amp;$D330,ShiftKnowledge!$A$2:$A$9,0)),"")))</f>
        <v/>
      </c>
      <c r="F330" s="6" t="inlineStr"/>
      <c r="G330" s="6">
        <f>IF(AND($I330="",$L330=""),"",IFERROR(VALUE($I330),0)+IFERROR(VALUE($L330),0))</f>
        <v/>
      </c>
      <c r="H330" s="6">
        <f>IF($D330="Custom","",IFERROR(XLOOKUP($B330&amp;"|"&amp;$D330,ShiftKnowledge!$A$2:$A$9,ShiftKnowledge!$E$2:$E$9,""),IFERROR(INDEX(ShiftKnowledge!$E$2:$E$9,MATCH($B330&amp;"|"&amp;$D330,ShiftKnowledge!$A$2:$A$9,0)),"")))</f>
        <v/>
      </c>
      <c r="I330" s="6">
        <f>IF($D330="Custom","",IFERROR(XLOOKUP($B330&amp;"|"&amp;$D330,ShiftKnowledge!$A$2:$A$9,ShiftKnowledge!$F$2:$F$9,""),IFERROR(INDEX(ShiftKnowledge!$F$2:$F$9,MATCH($B330&amp;"|"&amp;$D330,ShiftKnowledge!$A$2:$A$9,0)),"")))</f>
        <v/>
      </c>
      <c r="J330" s="6">
        <f>IF($D330="Custom","",IFERROR(XLOOKUP($B330&amp;"|"&amp;$D330,ShiftKnowledge!$A$2:$A$9,ShiftKnowledge!$G$2:$G$9,""),IFERROR(INDEX(ShiftKnowledge!$G$2:$G$9,MATCH($B330&amp;"|"&amp;$D330,ShiftKnowledge!$A$2:$A$9,0)),"")))</f>
        <v/>
      </c>
      <c r="K330" s="6">
        <f>IF($D330="Custom","",IFERROR(XLOOKUP($B330&amp;"|"&amp;$D330,ShiftKnowledge!$A$2:$A$9,ShiftKnowledge!$H$2:$H$9,""),IFERROR(INDEX(ShiftKnowledge!$H$2:$H$9,MATCH($B330&amp;"|"&amp;$D330,ShiftKnowledge!$A$2:$A$9,0)),"")))</f>
        <v/>
      </c>
      <c r="L330" s="6">
        <f>IF($D330="Custom","",IFERROR(XLOOKUP($B330&amp;"|"&amp;$D330,ShiftKnowledge!$A$2:$A$9,ShiftKnowledge!$I$2:$I$9,""),IFERROR(INDEX(ShiftKnowledge!$I$2:$I$9,MATCH($B330&amp;"|"&amp;$D330,ShiftKnowledge!$A$2:$A$9,0)),"")))</f>
        <v/>
      </c>
      <c r="M330" s="6" t="inlineStr"/>
    </row>
    <row r="331" ht="20" customHeight="1">
      <c r="A331" s="4" t="inlineStr">
        <is>
          <t>16/11/2025</t>
        </is>
      </c>
      <c r="B331" s="4" t="inlineStr">
        <is>
          <t>Gynaecology</t>
        </is>
      </c>
      <c r="C331" s="5" t="inlineStr">
        <is>
          <t>Dr. Joshila Chanu Yumnam Bhattarai</t>
        </is>
      </c>
      <c r="D331" s="4" t="inlineStr"/>
      <c r="E331" s="4">
        <f>IF($D331="Custom","",IFERROR(XLOOKUP($B331&amp;"|"&amp;$D331,ShiftKnowledge!$A$2:$A$9,ShiftKnowledge!$D$2:$D$9,""),IFERROR(INDEX(ShiftKnowledge!$D$2:$D$9,MATCH($B331&amp;"|"&amp;$D331,ShiftKnowledge!$A$2:$A$9,0)),"")))</f>
        <v/>
      </c>
      <c r="F331" s="4" t="inlineStr"/>
      <c r="G331" s="4">
        <f>IF(AND($I331="",$L331=""),"",IFERROR(VALUE($I331),0)+IFERROR(VALUE($L331),0))</f>
        <v/>
      </c>
      <c r="H331" s="4">
        <f>IF($D331="Custom","",IFERROR(XLOOKUP($B331&amp;"|"&amp;$D331,ShiftKnowledge!$A$2:$A$9,ShiftKnowledge!$E$2:$E$9,""),IFERROR(INDEX(ShiftKnowledge!$E$2:$E$9,MATCH($B331&amp;"|"&amp;$D331,ShiftKnowledge!$A$2:$A$9,0)),"")))</f>
        <v/>
      </c>
      <c r="I331" s="4">
        <f>IF($D331="Custom","",IFERROR(XLOOKUP($B331&amp;"|"&amp;$D331,ShiftKnowledge!$A$2:$A$9,ShiftKnowledge!$F$2:$F$9,""),IFERROR(INDEX(ShiftKnowledge!$F$2:$F$9,MATCH($B331&amp;"|"&amp;$D331,ShiftKnowledge!$A$2:$A$9,0)),"")))</f>
        <v/>
      </c>
      <c r="J331" s="4">
        <f>IF($D331="Custom","",IFERROR(XLOOKUP($B331&amp;"|"&amp;$D331,ShiftKnowledge!$A$2:$A$9,ShiftKnowledge!$G$2:$G$9,""),IFERROR(INDEX(ShiftKnowledge!$G$2:$G$9,MATCH($B331&amp;"|"&amp;$D331,ShiftKnowledge!$A$2:$A$9,0)),"")))</f>
        <v/>
      </c>
      <c r="K331" s="4">
        <f>IF($D331="Custom","",IFERROR(XLOOKUP($B331&amp;"|"&amp;$D331,ShiftKnowledge!$A$2:$A$9,ShiftKnowledge!$H$2:$H$9,""),IFERROR(INDEX(ShiftKnowledge!$H$2:$H$9,MATCH($B331&amp;"|"&amp;$D331,ShiftKnowledge!$A$2:$A$9,0)),"")))</f>
        <v/>
      </c>
      <c r="L331" s="4">
        <f>IF($D331="Custom","",IFERROR(XLOOKUP($B331&amp;"|"&amp;$D331,ShiftKnowledge!$A$2:$A$9,ShiftKnowledge!$I$2:$I$9,""),IFERROR(INDEX(ShiftKnowledge!$I$2:$I$9,MATCH($B331&amp;"|"&amp;$D331,ShiftKnowledge!$A$2:$A$9,0)),"")))</f>
        <v/>
      </c>
      <c r="M331" s="4" t="inlineStr"/>
    </row>
    <row r="332" ht="20" customHeight="1">
      <c r="A332" s="6" t="inlineStr">
        <is>
          <t>16/11/2025</t>
        </is>
      </c>
      <c r="B332" s="6" t="inlineStr">
        <is>
          <t>Gynaecology</t>
        </is>
      </c>
      <c r="C332" s="7" t="inlineStr">
        <is>
          <t>Dr. Jumailath Beygum</t>
        </is>
      </c>
      <c r="D332" s="6" t="inlineStr"/>
      <c r="E332" s="6">
        <f>IF($D332="Custom","",IFERROR(XLOOKUP($B332&amp;"|"&amp;$D332,ShiftKnowledge!$A$2:$A$9,ShiftKnowledge!$D$2:$D$9,""),IFERROR(INDEX(ShiftKnowledge!$D$2:$D$9,MATCH($B332&amp;"|"&amp;$D332,ShiftKnowledge!$A$2:$A$9,0)),"")))</f>
        <v/>
      </c>
      <c r="F332" s="6" t="inlineStr"/>
      <c r="G332" s="6">
        <f>IF(AND($I332="",$L332=""),"",IFERROR(VALUE($I332),0)+IFERROR(VALUE($L332),0))</f>
        <v/>
      </c>
      <c r="H332" s="6">
        <f>IF($D332="Custom","",IFERROR(XLOOKUP($B332&amp;"|"&amp;$D332,ShiftKnowledge!$A$2:$A$9,ShiftKnowledge!$E$2:$E$9,""),IFERROR(INDEX(ShiftKnowledge!$E$2:$E$9,MATCH($B332&amp;"|"&amp;$D332,ShiftKnowledge!$A$2:$A$9,0)),"")))</f>
        <v/>
      </c>
      <c r="I332" s="6">
        <f>IF($D332="Custom","",IFERROR(XLOOKUP($B332&amp;"|"&amp;$D332,ShiftKnowledge!$A$2:$A$9,ShiftKnowledge!$F$2:$F$9,""),IFERROR(INDEX(ShiftKnowledge!$F$2:$F$9,MATCH($B332&amp;"|"&amp;$D332,ShiftKnowledge!$A$2:$A$9,0)),"")))</f>
        <v/>
      </c>
      <c r="J332" s="6">
        <f>IF($D332="Custom","",IFERROR(XLOOKUP($B332&amp;"|"&amp;$D332,ShiftKnowledge!$A$2:$A$9,ShiftKnowledge!$G$2:$G$9,""),IFERROR(INDEX(ShiftKnowledge!$G$2:$G$9,MATCH($B332&amp;"|"&amp;$D332,ShiftKnowledge!$A$2:$A$9,0)),"")))</f>
        <v/>
      </c>
      <c r="K332" s="6">
        <f>IF($D332="Custom","",IFERROR(XLOOKUP($B332&amp;"|"&amp;$D332,ShiftKnowledge!$A$2:$A$9,ShiftKnowledge!$H$2:$H$9,""),IFERROR(INDEX(ShiftKnowledge!$H$2:$H$9,MATCH($B332&amp;"|"&amp;$D332,ShiftKnowledge!$A$2:$A$9,0)),"")))</f>
        <v/>
      </c>
      <c r="L332" s="6">
        <f>IF($D332="Custom","",IFERROR(XLOOKUP($B332&amp;"|"&amp;$D332,ShiftKnowledge!$A$2:$A$9,ShiftKnowledge!$I$2:$I$9,""),IFERROR(INDEX(ShiftKnowledge!$I$2:$I$9,MATCH($B332&amp;"|"&amp;$D332,ShiftKnowledge!$A$2:$A$9,0)),"")))</f>
        <v/>
      </c>
      <c r="M332" s="6" t="inlineStr"/>
    </row>
    <row r="333" ht="20" customHeight="1">
      <c r="A333" s="4" t="inlineStr">
        <is>
          <t>16/11/2025</t>
        </is>
      </c>
      <c r="B333" s="4" t="inlineStr">
        <is>
          <t>General Surgery</t>
        </is>
      </c>
      <c r="C333" s="5" t="inlineStr">
        <is>
          <t>Dr. Khine Su Kyi</t>
        </is>
      </c>
      <c r="D333" s="4" t="inlineStr"/>
      <c r="E333" s="4">
        <f>IF($D333="Custom","",IFERROR(XLOOKUP($B333&amp;"|"&amp;$D333,ShiftKnowledge!$A$2:$A$9,ShiftKnowledge!$D$2:$D$9,""),IFERROR(INDEX(ShiftKnowledge!$D$2:$D$9,MATCH($B333&amp;"|"&amp;$D333,ShiftKnowledge!$A$2:$A$9,0)),"")))</f>
        <v/>
      </c>
      <c r="F333" s="4" t="inlineStr"/>
      <c r="G333" s="4">
        <f>IF(AND($I333="",$L333=""),"",IFERROR(VALUE($I333),0)+IFERROR(VALUE($L333),0))</f>
        <v/>
      </c>
      <c r="H333" s="4">
        <f>IF($D333="Custom","",IFERROR(XLOOKUP($B333&amp;"|"&amp;$D333,ShiftKnowledge!$A$2:$A$9,ShiftKnowledge!$E$2:$E$9,""),IFERROR(INDEX(ShiftKnowledge!$E$2:$E$9,MATCH($B333&amp;"|"&amp;$D333,ShiftKnowledge!$A$2:$A$9,0)),"")))</f>
        <v/>
      </c>
      <c r="I333" s="4">
        <f>IF($D333="Custom","",IFERROR(XLOOKUP($B333&amp;"|"&amp;$D333,ShiftKnowledge!$A$2:$A$9,ShiftKnowledge!$F$2:$F$9,""),IFERROR(INDEX(ShiftKnowledge!$F$2:$F$9,MATCH($B333&amp;"|"&amp;$D333,ShiftKnowledge!$A$2:$A$9,0)),"")))</f>
        <v/>
      </c>
      <c r="J333" s="4">
        <f>IF($D333="Custom","",IFERROR(XLOOKUP($B333&amp;"|"&amp;$D333,ShiftKnowledge!$A$2:$A$9,ShiftKnowledge!$G$2:$G$9,""),IFERROR(INDEX(ShiftKnowledge!$G$2:$G$9,MATCH($B333&amp;"|"&amp;$D333,ShiftKnowledge!$A$2:$A$9,0)),"")))</f>
        <v/>
      </c>
      <c r="K333" s="4">
        <f>IF($D333="Custom","",IFERROR(XLOOKUP($B333&amp;"|"&amp;$D333,ShiftKnowledge!$A$2:$A$9,ShiftKnowledge!$H$2:$H$9,""),IFERROR(INDEX(ShiftKnowledge!$H$2:$H$9,MATCH($B333&amp;"|"&amp;$D333,ShiftKnowledge!$A$2:$A$9,0)),"")))</f>
        <v/>
      </c>
      <c r="L333" s="4">
        <f>IF($D333="Custom","",IFERROR(XLOOKUP($B333&amp;"|"&amp;$D333,ShiftKnowledge!$A$2:$A$9,ShiftKnowledge!$I$2:$I$9,""),IFERROR(INDEX(ShiftKnowledge!$I$2:$I$9,MATCH($B333&amp;"|"&amp;$D333,ShiftKnowledge!$A$2:$A$9,0)),"")))</f>
        <v/>
      </c>
      <c r="M333" s="4" t="inlineStr"/>
    </row>
    <row r="334" ht="20" customHeight="1">
      <c r="A334" s="6" t="inlineStr">
        <is>
          <t>16/11/2025</t>
        </is>
      </c>
      <c r="B334" s="6" t="inlineStr">
        <is>
          <t>Dental</t>
        </is>
      </c>
      <c r="C334" s="7" t="inlineStr">
        <is>
          <t>Dr. Mariyam Afza Zuhair</t>
        </is>
      </c>
      <c r="D334" s="6" t="inlineStr"/>
      <c r="E334" s="6">
        <f>IF($D334="Custom","",IFERROR(XLOOKUP($B334&amp;"|"&amp;$D334,ShiftKnowledge!$A$2:$A$9,ShiftKnowledge!$D$2:$D$9,""),IFERROR(INDEX(ShiftKnowledge!$D$2:$D$9,MATCH($B334&amp;"|"&amp;$D334,ShiftKnowledge!$A$2:$A$9,0)),"")))</f>
        <v/>
      </c>
      <c r="F334" s="6" t="inlineStr"/>
      <c r="G334" s="6">
        <f>IF(AND($I334="",$L334=""),"",IFERROR(VALUE($I334),0)+IFERROR(VALUE($L334),0))</f>
        <v/>
      </c>
      <c r="H334" s="6">
        <f>IF($D334="Custom","",IFERROR(XLOOKUP($B334&amp;"|"&amp;$D334,ShiftKnowledge!$A$2:$A$9,ShiftKnowledge!$E$2:$E$9,""),IFERROR(INDEX(ShiftKnowledge!$E$2:$E$9,MATCH($B334&amp;"|"&amp;$D334,ShiftKnowledge!$A$2:$A$9,0)),"")))</f>
        <v/>
      </c>
      <c r="I334" s="6">
        <f>IF($D334="Custom","",IFERROR(XLOOKUP($B334&amp;"|"&amp;$D334,ShiftKnowledge!$A$2:$A$9,ShiftKnowledge!$F$2:$F$9,""),IFERROR(INDEX(ShiftKnowledge!$F$2:$F$9,MATCH($B334&amp;"|"&amp;$D334,ShiftKnowledge!$A$2:$A$9,0)),"")))</f>
        <v/>
      </c>
      <c r="J334" s="6">
        <f>IF($D334="Custom","",IFERROR(XLOOKUP($B334&amp;"|"&amp;$D334,ShiftKnowledge!$A$2:$A$9,ShiftKnowledge!$G$2:$G$9,""),IFERROR(INDEX(ShiftKnowledge!$G$2:$G$9,MATCH($B334&amp;"|"&amp;$D334,ShiftKnowledge!$A$2:$A$9,0)),"")))</f>
        <v/>
      </c>
      <c r="K334" s="6">
        <f>IF($D334="Custom","",IFERROR(XLOOKUP($B334&amp;"|"&amp;$D334,ShiftKnowledge!$A$2:$A$9,ShiftKnowledge!$H$2:$H$9,""),IFERROR(INDEX(ShiftKnowledge!$H$2:$H$9,MATCH($B334&amp;"|"&amp;$D334,ShiftKnowledge!$A$2:$A$9,0)),"")))</f>
        <v/>
      </c>
      <c r="L334" s="6">
        <f>IF($D334="Custom","",IFERROR(XLOOKUP($B334&amp;"|"&amp;$D334,ShiftKnowledge!$A$2:$A$9,ShiftKnowledge!$I$2:$I$9,""),IFERROR(INDEX(ShiftKnowledge!$I$2:$I$9,MATCH($B334&amp;"|"&amp;$D334,ShiftKnowledge!$A$2:$A$9,0)),"")))</f>
        <v/>
      </c>
      <c r="M334" s="6" t="inlineStr"/>
    </row>
    <row r="335" ht="20" customHeight="1">
      <c r="A335" s="4" t="inlineStr">
        <is>
          <t>16/11/2025</t>
        </is>
      </c>
      <c r="B335" s="4" t="inlineStr">
        <is>
          <t>Psychiatry</t>
        </is>
      </c>
      <c r="C335" s="5" t="inlineStr">
        <is>
          <t>Dr. Maumoon Shareef</t>
        </is>
      </c>
      <c r="D335" s="4" t="inlineStr"/>
      <c r="E335" s="4">
        <f>IF($D335="Custom","",IFERROR(XLOOKUP($B335&amp;"|"&amp;$D335,ShiftKnowledge!$A$2:$A$9,ShiftKnowledge!$D$2:$D$9,""),IFERROR(INDEX(ShiftKnowledge!$D$2:$D$9,MATCH($B335&amp;"|"&amp;$D335,ShiftKnowledge!$A$2:$A$9,0)),"")))</f>
        <v/>
      </c>
      <c r="F335" s="4" t="inlineStr"/>
      <c r="G335" s="4">
        <f>IF(AND($I335="",$L335=""),"",IFERROR(VALUE($I335),0)+IFERROR(VALUE($L335),0))</f>
        <v/>
      </c>
      <c r="H335" s="4">
        <f>IF($D335="Custom","",IFERROR(XLOOKUP($B335&amp;"|"&amp;$D335,ShiftKnowledge!$A$2:$A$9,ShiftKnowledge!$E$2:$E$9,""),IFERROR(INDEX(ShiftKnowledge!$E$2:$E$9,MATCH($B335&amp;"|"&amp;$D335,ShiftKnowledge!$A$2:$A$9,0)),"")))</f>
        <v/>
      </c>
      <c r="I335" s="4">
        <f>IF($D335="Custom","",IFERROR(XLOOKUP($B335&amp;"|"&amp;$D335,ShiftKnowledge!$A$2:$A$9,ShiftKnowledge!$F$2:$F$9,""),IFERROR(INDEX(ShiftKnowledge!$F$2:$F$9,MATCH($B335&amp;"|"&amp;$D335,ShiftKnowledge!$A$2:$A$9,0)),"")))</f>
        <v/>
      </c>
      <c r="J335" s="4">
        <f>IF($D335="Custom","",IFERROR(XLOOKUP($B335&amp;"|"&amp;$D335,ShiftKnowledge!$A$2:$A$9,ShiftKnowledge!$G$2:$G$9,""),IFERROR(INDEX(ShiftKnowledge!$G$2:$G$9,MATCH($B335&amp;"|"&amp;$D335,ShiftKnowledge!$A$2:$A$9,0)),"")))</f>
        <v/>
      </c>
      <c r="K335" s="4">
        <f>IF($D335="Custom","",IFERROR(XLOOKUP($B335&amp;"|"&amp;$D335,ShiftKnowledge!$A$2:$A$9,ShiftKnowledge!$H$2:$H$9,""),IFERROR(INDEX(ShiftKnowledge!$H$2:$H$9,MATCH($B335&amp;"|"&amp;$D335,ShiftKnowledge!$A$2:$A$9,0)),"")))</f>
        <v/>
      </c>
      <c r="L335" s="4">
        <f>IF($D335="Custom","",IFERROR(XLOOKUP($B335&amp;"|"&amp;$D335,ShiftKnowledge!$A$2:$A$9,ShiftKnowledge!$I$2:$I$9,""),IFERROR(INDEX(ShiftKnowledge!$I$2:$I$9,MATCH($B335&amp;"|"&amp;$D335,ShiftKnowledge!$A$2:$A$9,0)),"")))</f>
        <v/>
      </c>
      <c r="M335" s="4" t="inlineStr"/>
    </row>
    <row r="336" ht="20" customHeight="1">
      <c r="A336" s="6" t="inlineStr">
        <is>
          <t>16/11/2025</t>
        </is>
      </c>
      <c r="B336" s="6" t="inlineStr">
        <is>
          <t>Internal Medicine</t>
        </is>
      </c>
      <c r="C336" s="7" t="inlineStr">
        <is>
          <t>Dr. Mihuna Ibrahim</t>
        </is>
      </c>
      <c r="D336" s="6" t="inlineStr"/>
      <c r="E336" s="6">
        <f>IF($D336="Custom","",IFERROR(XLOOKUP($B336&amp;"|"&amp;$D336,ShiftKnowledge!$A$2:$A$9,ShiftKnowledge!$D$2:$D$9,""),IFERROR(INDEX(ShiftKnowledge!$D$2:$D$9,MATCH($B336&amp;"|"&amp;$D336,ShiftKnowledge!$A$2:$A$9,0)),"")))</f>
        <v/>
      </c>
      <c r="F336" s="6" t="inlineStr"/>
      <c r="G336" s="6">
        <f>IF(AND($I336="",$L336=""),"",IFERROR(VALUE($I336),0)+IFERROR(VALUE($L336),0))</f>
        <v/>
      </c>
      <c r="H336" s="6">
        <f>IF($D336="Custom","",IFERROR(XLOOKUP($B336&amp;"|"&amp;$D336,ShiftKnowledge!$A$2:$A$9,ShiftKnowledge!$E$2:$E$9,""),IFERROR(INDEX(ShiftKnowledge!$E$2:$E$9,MATCH($B336&amp;"|"&amp;$D336,ShiftKnowledge!$A$2:$A$9,0)),"")))</f>
        <v/>
      </c>
      <c r="I336" s="6">
        <f>IF($D336="Custom","",IFERROR(XLOOKUP($B336&amp;"|"&amp;$D336,ShiftKnowledge!$A$2:$A$9,ShiftKnowledge!$F$2:$F$9,""),IFERROR(INDEX(ShiftKnowledge!$F$2:$F$9,MATCH($B336&amp;"|"&amp;$D336,ShiftKnowledge!$A$2:$A$9,0)),"")))</f>
        <v/>
      </c>
      <c r="J336" s="6">
        <f>IF($D336="Custom","",IFERROR(XLOOKUP($B336&amp;"|"&amp;$D336,ShiftKnowledge!$A$2:$A$9,ShiftKnowledge!$G$2:$G$9,""),IFERROR(INDEX(ShiftKnowledge!$G$2:$G$9,MATCH($B336&amp;"|"&amp;$D336,ShiftKnowledge!$A$2:$A$9,0)),"")))</f>
        <v/>
      </c>
      <c r="K336" s="6">
        <f>IF($D336="Custom","",IFERROR(XLOOKUP($B336&amp;"|"&amp;$D336,ShiftKnowledge!$A$2:$A$9,ShiftKnowledge!$H$2:$H$9,""),IFERROR(INDEX(ShiftKnowledge!$H$2:$H$9,MATCH($B336&amp;"|"&amp;$D336,ShiftKnowledge!$A$2:$A$9,0)),"")))</f>
        <v/>
      </c>
      <c r="L336" s="6">
        <f>IF($D336="Custom","",IFERROR(XLOOKUP($B336&amp;"|"&amp;$D336,ShiftKnowledge!$A$2:$A$9,ShiftKnowledge!$I$2:$I$9,""),IFERROR(INDEX(ShiftKnowledge!$I$2:$I$9,MATCH($B336&amp;"|"&amp;$D336,ShiftKnowledge!$A$2:$A$9,0)),"")))</f>
        <v/>
      </c>
      <c r="M336" s="6" t="inlineStr"/>
    </row>
    <row r="337" ht="20" customHeight="1">
      <c r="A337" s="4" t="inlineStr">
        <is>
          <t>16/11/2025</t>
        </is>
      </c>
      <c r="B337" s="4" t="inlineStr">
        <is>
          <t>Endocrinology</t>
        </is>
      </c>
      <c r="C337" s="5" t="inlineStr">
        <is>
          <t>Dr. Mohamed Wisham</t>
        </is>
      </c>
      <c r="D337" s="4" t="inlineStr"/>
      <c r="E337" s="4">
        <f>IF($D337="Custom","",IFERROR(XLOOKUP($B337&amp;"|"&amp;$D337,ShiftKnowledge!$A$2:$A$9,ShiftKnowledge!$D$2:$D$9,""),IFERROR(INDEX(ShiftKnowledge!$D$2:$D$9,MATCH($B337&amp;"|"&amp;$D337,ShiftKnowledge!$A$2:$A$9,0)),"")))</f>
        <v/>
      </c>
      <c r="F337" s="4" t="inlineStr"/>
      <c r="G337" s="4">
        <f>IF(AND($I337="",$L337=""),"",IFERROR(VALUE($I337),0)+IFERROR(VALUE($L337),0))</f>
        <v/>
      </c>
      <c r="H337" s="4">
        <f>IF($D337="Custom","",IFERROR(XLOOKUP($B337&amp;"|"&amp;$D337,ShiftKnowledge!$A$2:$A$9,ShiftKnowledge!$E$2:$E$9,""),IFERROR(INDEX(ShiftKnowledge!$E$2:$E$9,MATCH($B337&amp;"|"&amp;$D337,ShiftKnowledge!$A$2:$A$9,0)),"")))</f>
        <v/>
      </c>
      <c r="I337" s="4">
        <f>IF($D337="Custom","",IFERROR(XLOOKUP($B337&amp;"|"&amp;$D337,ShiftKnowledge!$A$2:$A$9,ShiftKnowledge!$F$2:$F$9,""),IFERROR(INDEX(ShiftKnowledge!$F$2:$F$9,MATCH($B337&amp;"|"&amp;$D337,ShiftKnowledge!$A$2:$A$9,0)),"")))</f>
        <v/>
      </c>
      <c r="J337" s="4">
        <f>IF($D337="Custom","",IFERROR(XLOOKUP($B337&amp;"|"&amp;$D337,ShiftKnowledge!$A$2:$A$9,ShiftKnowledge!$G$2:$G$9,""),IFERROR(INDEX(ShiftKnowledge!$G$2:$G$9,MATCH($B337&amp;"|"&amp;$D337,ShiftKnowledge!$A$2:$A$9,0)),"")))</f>
        <v/>
      </c>
      <c r="K337" s="4">
        <f>IF($D337="Custom","",IFERROR(XLOOKUP($B337&amp;"|"&amp;$D337,ShiftKnowledge!$A$2:$A$9,ShiftKnowledge!$H$2:$H$9,""),IFERROR(INDEX(ShiftKnowledge!$H$2:$H$9,MATCH($B337&amp;"|"&amp;$D337,ShiftKnowledge!$A$2:$A$9,0)),"")))</f>
        <v/>
      </c>
      <c r="L337" s="4">
        <f>IF($D337="Custom","",IFERROR(XLOOKUP($B337&amp;"|"&amp;$D337,ShiftKnowledge!$A$2:$A$9,ShiftKnowledge!$I$2:$I$9,""),IFERROR(INDEX(ShiftKnowledge!$I$2:$I$9,MATCH($B337&amp;"|"&amp;$D337,ShiftKnowledge!$A$2:$A$9,0)),"")))</f>
        <v/>
      </c>
      <c r="M337" s="4" t="inlineStr"/>
    </row>
    <row r="338" ht="20" customHeight="1">
      <c r="A338" s="6" t="inlineStr">
        <is>
          <t>16/11/2025</t>
        </is>
      </c>
      <c r="B338" s="6" t="inlineStr">
        <is>
          <t>Cardiology</t>
        </is>
      </c>
      <c r="C338" s="7" t="inlineStr">
        <is>
          <t>Dr. Moosa Manik</t>
        </is>
      </c>
      <c r="D338" s="6" t="inlineStr"/>
      <c r="E338" s="6">
        <f>IF($D338="Custom","",IFERROR(XLOOKUP($B338&amp;"|"&amp;$D338,ShiftKnowledge!$A$2:$A$9,ShiftKnowledge!$D$2:$D$9,""),IFERROR(INDEX(ShiftKnowledge!$D$2:$D$9,MATCH($B338&amp;"|"&amp;$D338,ShiftKnowledge!$A$2:$A$9,0)),"")))</f>
        <v/>
      </c>
      <c r="F338" s="6" t="inlineStr"/>
      <c r="G338" s="6">
        <f>IF(AND($I338="",$L338=""),"",IFERROR(VALUE($I338),0)+IFERROR(VALUE($L338),0))</f>
        <v/>
      </c>
      <c r="H338" s="6">
        <f>IF($D338="Custom","",IFERROR(XLOOKUP($B338&amp;"|"&amp;$D338,ShiftKnowledge!$A$2:$A$9,ShiftKnowledge!$E$2:$E$9,""),IFERROR(INDEX(ShiftKnowledge!$E$2:$E$9,MATCH($B338&amp;"|"&amp;$D338,ShiftKnowledge!$A$2:$A$9,0)),"")))</f>
        <v/>
      </c>
      <c r="I338" s="6">
        <f>IF($D338="Custom","",IFERROR(XLOOKUP($B338&amp;"|"&amp;$D338,ShiftKnowledge!$A$2:$A$9,ShiftKnowledge!$F$2:$F$9,""),IFERROR(INDEX(ShiftKnowledge!$F$2:$F$9,MATCH($B338&amp;"|"&amp;$D338,ShiftKnowledge!$A$2:$A$9,0)),"")))</f>
        <v/>
      </c>
      <c r="J338" s="6">
        <f>IF($D338="Custom","",IFERROR(XLOOKUP($B338&amp;"|"&amp;$D338,ShiftKnowledge!$A$2:$A$9,ShiftKnowledge!$G$2:$G$9,""),IFERROR(INDEX(ShiftKnowledge!$G$2:$G$9,MATCH($B338&amp;"|"&amp;$D338,ShiftKnowledge!$A$2:$A$9,0)),"")))</f>
        <v/>
      </c>
      <c r="K338" s="6">
        <f>IF($D338="Custom","",IFERROR(XLOOKUP($B338&amp;"|"&amp;$D338,ShiftKnowledge!$A$2:$A$9,ShiftKnowledge!$H$2:$H$9,""),IFERROR(INDEX(ShiftKnowledge!$H$2:$H$9,MATCH($B338&amp;"|"&amp;$D338,ShiftKnowledge!$A$2:$A$9,0)),"")))</f>
        <v/>
      </c>
      <c r="L338" s="6">
        <f>IF($D338="Custom","",IFERROR(XLOOKUP($B338&amp;"|"&amp;$D338,ShiftKnowledge!$A$2:$A$9,ShiftKnowledge!$I$2:$I$9,""),IFERROR(INDEX(ShiftKnowledge!$I$2:$I$9,MATCH($B338&amp;"|"&amp;$D338,ShiftKnowledge!$A$2:$A$9,0)),"")))</f>
        <v/>
      </c>
      <c r="M338" s="6" t="inlineStr"/>
    </row>
    <row r="339" ht="20" customHeight="1">
      <c r="A339" s="4" t="inlineStr">
        <is>
          <t>16/11/2025</t>
        </is>
      </c>
      <c r="B339" s="4" t="inlineStr">
        <is>
          <t>Nephrology</t>
        </is>
      </c>
      <c r="C339" s="5" t="inlineStr">
        <is>
          <t>Dr. Muhammad Mujtaba Ur Rehman</t>
        </is>
      </c>
      <c r="D339" s="4" t="inlineStr"/>
      <c r="E339" s="4">
        <f>IF($D339="Custom","",IFERROR(XLOOKUP($B339&amp;"|"&amp;$D339,ShiftKnowledge!$A$2:$A$9,ShiftKnowledge!$D$2:$D$9,""),IFERROR(INDEX(ShiftKnowledge!$D$2:$D$9,MATCH($B339&amp;"|"&amp;$D339,ShiftKnowledge!$A$2:$A$9,0)),"")))</f>
        <v/>
      </c>
      <c r="F339" s="4" t="inlineStr"/>
      <c r="G339" s="4">
        <f>IF(AND($I339="",$L339=""),"",IFERROR(VALUE($I339),0)+IFERROR(VALUE($L339),0))</f>
        <v/>
      </c>
      <c r="H339" s="4">
        <f>IF($D339="Custom","",IFERROR(XLOOKUP($B339&amp;"|"&amp;$D339,ShiftKnowledge!$A$2:$A$9,ShiftKnowledge!$E$2:$E$9,""),IFERROR(INDEX(ShiftKnowledge!$E$2:$E$9,MATCH($B339&amp;"|"&amp;$D339,ShiftKnowledge!$A$2:$A$9,0)),"")))</f>
        <v/>
      </c>
      <c r="I339" s="4">
        <f>IF($D339="Custom","",IFERROR(XLOOKUP($B339&amp;"|"&amp;$D339,ShiftKnowledge!$A$2:$A$9,ShiftKnowledge!$F$2:$F$9,""),IFERROR(INDEX(ShiftKnowledge!$F$2:$F$9,MATCH($B339&amp;"|"&amp;$D339,ShiftKnowledge!$A$2:$A$9,0)),"")))</f>
        <v/>
      </c>
      <c r="J339" s="4">
        <f>IF($D339="Custom","",IFERROR(XLOOKUP($B339&amp;"|"&amp;$D339,ShiftKnowledge!$A$2:$A$9,ShiftKnowledge!$G$2:$G$9,""),IFERROR(INDEX(ShiftKnowledge!$G$2:$G$9,MATCH($B339&amp;"|"&amp;$D339,ShiftKnowledge!$A$2:$A$9,0)),"")))</f>
        <v/>
      </c>
      <c r="K339" s="4">
        <f>IF($D339="Custom","",IFERROR(XLOOKUP($B339&amp;"|"&amp;$D339,ShiftKnowledge!$A$2:$A$9,ShiftKnowledge!$H$2:$H$9,""),IFERROR(INDEX(ShiftKnowledge!$H$2:$H$9,MATCH($B339&amp;"|"&amp;$D339,ShiftKnowledge!$A$2:$A$9,0)),"")))</f>
        <v/>
      </c>
      <c r="L339" s="4">
        <f>IF($D339="Custom","",IFERROR(XLOOKUP($B339&amp;"|"&amp;$D339,ShiftKnowledge!$A$2:$A$9,ShiftKnowledge!$I$2:$I$9,""),IFERROR(INDEX(ShiftKnowledge!$I$2:$I$9,MATCH($B339&amp;"|"&amp;$D339,ShiftKnowledge!$A$2:$A$9,0)),"")))</f>
        <v/>
      </c>
      <c r="M339" s="4" t="inlineStr"/>
    </row>
    <row r="340" ht="20" customHeight="1">
      <c r="A340" s="6" t="inlineStr">
        <is>
          <t>16/11/2025</t>
        </is>
      </c>
      <c r="B340" s="6" t="inlineStr">
        <is>
          <t>Ophthalmology</t>
        </is>
      </c>
      <c r="C340" s="7" t="inlineStr">
        <is>
          <t>Dr. Nafeesa Abdul Latheef</t>
        </is>
      </c>
      <c r="D340" s="6" t="inlineStr"/>
      <c r="E340" s="6">
        <f>IF($D340="Custom","",IFERROR(XLOOKUP($B340&amp;"|"&amp;$D340,ShiftKnowledge!$A$2:$A$9,ShiftKnowledge!$D$2:$D$9,""),IFERROR(INDEX(ShiftKnowledge!$D$2:$D$9,MATCH($B340&amp;"|"&amp;$D340,ShiftKnowledge!$A$2:$A$9,0)),"")))</f>
        <v/>
      </c>
      <c r="F340" s="6" t="inlineStr"/>
      <c r="G340" s="6">
        <f>IF(AND($I340="",$L340=""),"",IFERROR(VALUE($I340),0)+IFERROR(VALUE($L340),0))</f>
        <v/>
      </c>
      <c r="H340" s="6">
        <f>IF($D340="Custom","",IFERROR(XLOOKUP($B340&amp;"|"&amp;$D340,ShiftKnowledge!$A$2:$A$9,ShiftKnowledge!$E$2:$E$9,""),IFERROR(INDEX(ShiftKnowledge!$E$2:$E$9,MATCH($B340&amp;"|"&amp;$D340,ShiftKnowledge!$A$2:$A$9,0)),"")))</f>
        <v/>
      </c>
      <c r="I340" s="6">
        <f>IF($D340="Custom","",IFERROR(XLOOKUP($B340&amp;"|"&amp;$D340,ShiftKnowledge!$A$2:$A$9,ShiftKnowledge!$F$2:$F$9,""),IFERROR(INDEX(ShiftKnowledge!$F$2:$F$9,MATCH($B340&amp;"|"&amp;$D340,ShiftKnowledge!$A$2:$A$9,0)),"")))</f>
        <v/>
      </c>
      <c r="J340" s="6">
        <f>IF($D340="Custom","",IFERROR(XLOOKUP($B340&amp;"|"&amp;$D340,ShiftKnowledge!$A$2:$A$9,ShiftKnowledge!$G$2:$G$9,""),IFERROR(INDEX(ShiftKnowledge!$G$2:$G$9,MATCH($B340&amp;"|"&amp;$D340,ShiftKnowledge!$A$2:$A$9,0)),"")))</f>
        <v/>
      </c>
      <c r="K340" s="6">
        <f>IF($D340="Custom","",IFERROR(XLOOKUP($B340&amp;"|"&amp;$D340,ShiftKnowledge!$A$2:$A$9,ShiftKnowledge!$H$2:$H$9,""),IFERROR(INDEX(ShiftKnowledge!$H$2:$H$9,MATCH($B340&amp;"|"&amp;$D340,ShiftKnowledge!$A$2:$A$9,0)),"")))</f>
        <v/>
      </c>
      <c r="L340" s="6">
        <f>IF($D340="Custom","",IFERROR(XLOOKUP($B340&amp;"|"&amp;$D340,ShiftKnowledge!$A$2:$A$9,ShiftKnowledge!$I$2:$I$9,""),IFERROR(INDEX(ShiftKnowledge!$I$2:$I$9,MATCH($B340&amp;"|"&amp;$D340,ShiftKnowledge!$A$2:$A$9,0)),"")))</f>
        <v/>
      </c>
      <c r="M340" s="6" t="inlineStr"/>
    </row>
    <row r="341" ht="20" customHeight="1">
      <c r="A341" s="4" t="inlineStr">
        <is>
          <t>16/11/2025</t>
        </is>
      </c>
      <c r="B341" s="4" t="inlineStr">
        <is>
          <t>ENT</t>
        </is>
      </c>
      <c r="C341" s="5" t="inlineStr">
        <is>
          <t>Dr. Nishesh Raj Shrestha</t>
        </is>
      </c>
      <c r="D341" s="4" t="inlineStr"/>
      <c r="E341" s="4">
        <f>IF($D341="Custom","",IFERROR(XLOOKUP($B341&amp;"|"&amp;$D341,ShiftKnowledge!$A$2:$A$9,ShiftKnowledge!$D$2:$D$9,""),IFERROR(INDEX(ShiftKnowledge!$D$2:$D$9,MATCH($B341&amp;"|"&amp;$D341,ShiftKnowledge!$A$2:$A$9,0)),"")))</f>
        <v/>
      </c>
      <c r="F341" s="4" t="inlineStr"/>
      <c r="G341" s="4">
        <f>IF(AND($I341="",$L341=""),"",IFERROR(VALUE($I341),0)+IFERROR(VALUE($L341),0))</f>
        <v/>
      </c>
      <c r="H341" s="4">
        <f>IF($D341="Custom","",IFERROR(XLOOKUP($B341&amp;"|"&amp;$D341,ShiftKnowledge!$A$2:$A$9,ShiftKnowledge!$E$2:$E$9,""),IFERROR(INDEX(ShiftKnowledge!$E$2:$E$9,MATCH($B341&amp;"|"&amp;$D341,ShiftKnowledge!$A$2:$A$9,0)),"")))</f>
        <v/>
      </c>
      <c r="I341" s="4">
        <f>IF($D341="Custom","",IFERROR(XLOOKUP($B341&amp;"|"&amp;$D341,ShiftKnowledge!$A$2:$A$9,ShiftKnowledge!$F$2:$F$9,""),IFERROR(INDEX(ShiftKnowledge!$F$2:$F$9,MATCH($B341&amp;"|"&amp;$D341,ShiftKnowledge!$A$2:$A$9,0)),"")))</f>
        <v/>
      </c>
      <c r="J341" s="4">
        <f>IF($D341="Custom","",IFERROR(XLOOKUP($B341&amp;"|"&amp;$D341,ShiftKnowledge!$A$2:$A$9,ShiftKnowledge!$G$2:$G$9,""),IFERROR(INDEX(ShiftKnowledge!$G$2:$G$9,MATCH($B341&amp;"|"&amp;$D341,ShiftKnowledge!$A$2:$A$9,0)),"")))</f>
        <v/>
      </c>
      <c r="K341" s="4">
        <f>IF($D341="Custom","",IFERROR(XLOOKUP($B341&amp;"|"&amp;$D341,ShiftKnowledge!$A$2:$A$9,ShiftKnowledge!$H$2:$H$9,""),IFERROR(INDEX(ShiftKnowledge!$H$2:$H$9,MATCH($B341&amp;"|"&amp;$D341,ShiftKnowledge!$A$2:$A$9,0)),"")))</f>
        <v/>
      </c>
      <c r="L341" s="4">
        <f>IF($D341="Custom","",IFERROR(XLOOKUP($B341&amp;"|"&amp;$D341,ShiftKnowledge!$A$2:$A$9,ShiftKnowledge!$I$2:$I$9,""),IFERROR(INDEX(ShiftKnowledge!$I$2:$I$9,MATCH($B341&amp;"|"&amp;$D341,ShiftKnowledge!$A$2:$A$9,0)),"")))</f>
        <v/>
      </c>
      <c r="M341" s="4" t="inlineStr"/>
    </row>
    <row r="342" ht="20" customHeight="1">
      <c r="A342" s="6" t="inlineStr">
        <is>
          <t>16/11/2025</t>
        </is>
      </c>
      <c r="B342" s="6" t="inlineStr">
        <is>
          <t>ENT</t>
        </is>
      </c>
      <c r="C342" s="7" t="inlineStr">
        <is>
          <t>Dr. Rachit Pokharel</t>
        </is>
      </c>
      <c r="D342" s="6" t="inlineStr"/>
      <c r="E342" s="6">
        <f>IF($D342="Custom","",IFERROR(XLOOKUP($B342&amp;"|"&amp;$D342,ShiftKnowledge!$A$2:$A$9,ShiftKnowledge!$D$2:$D$9,""),IFERROR(INDEX(ShiftKnowledge!$D$2:$D$9,MATCH($B342&amp;"|"&amp;$D342,ShiftKnowledge!$A$2:$A$9,0)),"")))</f>
        <v/>
      </c>
      <c r="F342" s="6" t="inlineStr"/>
      <c r="G342" s="6">
        <f>IF(AND($I342="",$L342=""),"",IFERROR(VALUE($I342),0)+IFERROR(VALUE($L342),0))</f>
        <v/>
      </c>
      <c r="H342" s="6">
        <f>IF($D342="Custom","",IFERROR(XLOOKUP($B342&amp;"|"&amp;$D342,ShiftKnowledge!$A$2:$A$9,ShiftKnowledge!$E$2:$E$9,""),IFERROR(INDEX(ShiftKnowledge!$E$2:$E$9,MATCH($B342&amp;"|"&amp;$D342,ShiftKnowledge!$A$2:$A$9,0)),"")))</f>
        <v/>
      </c>
      <c r="I342" s="6">
        <f>IF($D342="Custom","",IFERROR(XLOOKUP($B342&amp;"|"&amp;$D342,ShiftKnowledge!$A$2:$A$9,ShiftKnowledge!$F$2:$F$9,""),IFERROR(INDEX(ShiftKnowledge!$F$2:$F$9,MATCH($B342&amp;"|"&amp;$D342,ShiftKnowledge!$A$2:$A$9,0)),"")))</f>
        <v/>
      </c>
      <c r="J342" s="6">
        <f>IF($D342="Custom","",IFERROR(XLOOKUP($B342&amp;"|"&amp;$D342,ShiftKnowledge!$A$2:$A$9,ShiftKnowledge!$G$2:$G$9,""),IFERROR(INDEX(ShiftKnowledge!$G$2:$G$9,MATCH($B342&amp;"|"&amp;$D342,ShiftKnowledge!$A$2:$A$9,0)),"")))</f>
        <v/>
      </c>
      <c r="K342" s="6">
        <f>IF($D342="Custom","",IFERROR(XLOOKUP($B342&amp;"|"&amp;$D342,ShiftKnowledge!$A$2:$A$9,ShiftKnowledge!$H$2:$H$9,""),IFERROR(INDEX(ShiftKnowledge!$H$2:$H$9,MATCH($B342&amp;"|"&amp;$D342,ShiftKnowledge!$A$2:$A$9,0)),"")))</f>
        <v/>
      </c>
      <c r="L342" s="6">
        <f>IF($D342="Custom","",IFERROR(XLOOKUP($B342&amp;"|"&amp;$D342,ShiftKnowledge!$A$2:$A$9,ShiftKnowledge!$I$2:$I$9,""),IFERROR(INDEX(ShiftKnowledge!$I$2:$I$9,MATCH($B342&amp;"|"&amp;$D342,ShiftKnowledge!$A$2:$A$9,0)),"")))</f>
        <v/>
      </c>
      <c r="M342" s="6" t="inlineStr"/>
    </row>
    <row r="343" ht="20" customHeight="1">
      <c r="A343" s="4" t="inlineStr">
        <is>
          <t>16/11/2025</t>
        </is>
      </c>
      <c r="B343" s="4" t="inlineStr">
        <is>
          <t>Ophthalmology</t>
        </is>
      </c>
      <c r="C343" s="5" t="inlineStr">
        <is>
          <t>Dr. Remon Girgis Lamee Girgis</t>
        </is>
      </c>
      <c r="D343" s="4" t="inlineStr"/>
      <c r="E343" s="4">
        <f>IF($D343="Custom","",IFERROR(XLOOKUP($B343&amp;"|"&amp;$D343,ShiftKnowledge!$A$2:$A$9,ShiftKnowledge!$D$2:$D$9,""),IFERROR(INDEX(ShiftKnowledge!$D$2:$D$9,MATCH($B343&amp;"|"&amp;$D343,ShiftKnowledge!$A$2:$A$9,0)),"")))</f>
        <v/>
      </c>
      <c r="F343" s="4" t="inlineStr"/>
      <c r="G343" s="4">
        <f>IF(AND($I343="",$L343=""),"",IFERROR(VALUE($I343),0)+IFERROR(VALUE($L343),0))</f>
        <v/>
      </c>
      <c r="H343" s="4">
        <f>IF($D343="Custom","",IFERROR(XLOOKUP($B343&amp;"|"&amp;$D343,ShiftKnowledge!$A$2:$A$9,ShiftKnowledge!$E$2:$E$9,""),IFERROR(INDEX(ShiftKnowledge!$E$2:$E$9,MATCH($B343&amp;"|"&amp;$D343,ShiftKnowledge!$A$2:$A$9,0)),"")))</f>
        <v/>
      </c>
      <c r="I343" s="4">
        <f>IF($D343="Custom","",IFERROR(XLOOKUP($B343&amp;"|"&amp;$D343,ShiftKnowledge!$A$2:$A$9,ShiftKnowledge!$F$2:$F$9,""),IFERROR(INDEX(ShiftKnowledge!$F$2:$F$9,MATCH($B343&amp;"|"&amp;$D343,ShiftKnowledge!$A$2:$A$9,0)),"")))</f>
        <v/>
      </c>
      <c r="J343" s="4">
        <f>IF($D343="Custom","",IFERROR(XLOOKUP($B343&amp;"|"&amp;$D343,ShiftKnowledge!$A$2:$A$9,ShiftKnowledge!$G$2:$G$9,""),IFERROR(INDEX(ShiftKnowledge!$G$2:$G$9,MATCH($B343&amp;"|"&amp;$D343,ShiftKnowledge!$A$2:$A$9,0)),"")))</f>
        <v/>
      </c>
      <c r="K343" s="4">
        <f>IF($D343="Custom","",IFERROR(XLOOKUP($B343&amp;"|"&amp;$D343,ShiftKnowledge!$A$2:$A$9,ShiftKnowledge!$H$2:$H$9,""),IFERROR(INDEX(ShiftKnowledge!$H$2:$H$9,MATCH($B343&amp;"|"&amp;$D343,ShiftKnowledge!$A$2:$A$9,0)),"")))</f>
        <v/>
      </c>
      <c r="L343" s="4">
        <f>IF($D343="Custom","",IFERROR(XLOOKUP($B343&amp;"|"&amp;$D343,ShiftKnowledge!$A$2:$A$9,ShiftKnowledge!$I$2:$I$9,""),IFERROR(INDEX(ShiftKnowledge!$I$2:$I$9,MATCH($B343&amp;"|"&amp;$D343,ShiftKnowledge!$A$2:$A$9,0)),"")))</f>
        <v/>
      </c>
      <c r="M343" s="4" t="inlineStr"/>
    </row>
    <row r="344" ht="20" customHeight="1">
      <c r="A344" s="6" t="inlineStr">
        <is>
          <t>16/11/2025</t>
        </is>
      </c>
      <c r="B344" s="6" t="inlineStr">
        <is>
          <t>Paediatrics</t>
        </is>
      </c>
      <c r="C344" s="7" t="inlineStr">
        <is>
          <t>Dr. Roshan Kumar Dikshit</t>
        </is>
      </c>
      <c r="D344" s="6" t="inlineStr"/>
      <c r="E344" s="6">
        <f>IF($D344="Custom","",IFERROR(XLOOKUP($B344&amp;"|"&amp;$D344,ShiftKnowledge!$A$2:$A$9,ShiftKnowledge!$D$2:$D$9,""),IFERROR(INDEX(ShiftKnowledge!$D$2:$D$9,MATCH($B344&amp;"|"&amp;$D344,ShiftKnowledge!$A$2:$A$9,0)),"")))</f>
        <v/>
      </c>
      <c r="F344" s="6" t="inlineStr"/>
      <c r="G344" s="6">
        <f>IF(AND($I344="",$L344=""),"",IFERROR(VALUE($I344),0)+IFERROR(VALUE($L344),0))</f>
        <v/>
      </c>
      <c r="H344" s="6">
        <f>IF($D344="Custom","",IFERROR(XLOOKUP($B344&amp;"|"&amp;$D344,ShiftKnowledge!$A$2:$A$9,ShiftKnowledge!$E$2:$E$9,""),IFERROR(INDEX(ShiftKnowledge!$E$2:$E$9,MATCH($B344&amp;"|"&amp;$D344,ShiftKnowledge!$A$2:$A$9,0)),"")))</f>
        <v/>
      </c>
      <c r="I344" s="6">
        <f>IF($D344="Custom","",IFERROR(XLOOKUP($B344&amp;"|"&amp;$D344,ShiftKnowledge!$A$2:$A$9,ShiftKnowledge!$F$2:$F$9,""),IFERROR(INDEX(ShiftKnowledge!$F$2:$F$9,MATCH($B344&amp;"|"&amp;$D344,ShiftKnowledge!$A$2:$A$9,0)),"")))</f>
        <v/>
      </c>
      <c r="J344" s="6">
        <f>IF($D344="Custom","",IFERROR(XLOOKUP($B344&amp;"|"&amp;$D344,ShiftKnowledge!$A$2:$A$9,ShiftKnowledge!$G$2:$G$9,""),IFERROR(INDEX(ShiftKnowledge!$G$2:$G$9,MATCH($B344&amp;"|"&amp;$D344,ShiftKnowledge!$A$2:$A$9,0)),"")))</f>
        <v/>
      </c>
      <c r="K344" s="6">
        <f>IF($D344="Custom","",IFERROR(XLOOKUP($B344&amp;"|"&amp;$D344,ShiftKnowledge!$A$2:$A$9,ShiftKnowledge!$H$2:$H$9,""),IFERROR(INDEX(ShiftKnowledge!$H$2:$H$9,MATCH($B344&amp;"|"&amp;$D344,ShiftKnowledge!$A$2:$A$9,0)),"")))</f>
        <v/>
      </c>
      <c r="L344" s="6">
        <f>IF($D344="Custom","",IFERROR(XLOOKUP($B344&amp;"|"&amp;$D344,ShiftKnowledge!$A$2:$A$9,ShiftKnowledge!$I$2:$I$9,""),IFERROR(INDEX(ShiftKnowledge!$I$2:$I$9,MATCH($B344&amp;"|"&amp;$D344,ShiftKnowledge!$A$2:$A$9,0)),"")))</f>
        <v/>
      </c>
      <c r="M344" s="6" t="inlineStr"/>
    </row>
    <row r="345" ht="20" customHeight="1">
      <c r="A345" s="4" t="inlineStr">
        <is>
          <t>16/11/2025</t>
        </is>
      </c>
      <c r="B345" s="4" t="inlineStr">
        <is>
          <t>Ophthalmology</t>
        </is>
      </c>
      <c r="C345" s="5" t="inlineStr">
        <is>
          <t>Dr. Roxy Devi Chirom</t>
        </is>
      </c>
      <c r="D345" s="4" t="inlineStr"/>
      <c r="E345" s="4">
        <f>IF($D345="Custom","",IFERROR(XLOOKUP($B345&amp;"|"&amp;$D345,ShiftKnowledge!$A$2:$A$9,ShiftKnowledge!$D$2:$D$9,""),IFERROR(INDEX(ShiftKnowledge!$D$2:$D$9,MATCH($B345&amp;"|"&amp;$D345,ShiftKnowledge!$A$2:$A$9,0)),"")))</f>
        <v/>
      </c>
      <c r="F345" s="4" t="inlineStr"/>
      <c r="G345" s="4">
        <f>IF(AND($I345="",$L345=""),"",IFERROR(VALUE($I345),0)+IFERROR(VALUE($L345),0))</f>
        <v/>
      </c>
      <c r="H345" s="4">
        <f>IF($D345="Custom","",IFERROR(XLOOKUP($B345&amp;"|"&amp;$D345,ShiftKnowledge!$A$2:$A$9,ShiftKnowledge!$E$2:$E$9,""),IFERROR(INDEX(ShiftKnowledge!$E$2:$E$9,MATCH($B345&amp;"|"&amp;$D345,ShiftKnowledge!$A$2:$A$9,0)),"")))</f>
        <v/>
      </c>
      <c r="I345" s="4">
        <f>IF($D345="Custom","",IFERROR(XLOOKUP($B345&amp;"|"&amp;$D345,ShiftKnowledge!$A$2:$A$9,ShiftKnowledge!$F$2:$F$9,""),IFERROR(INDEX(ShiftKnowledge!$F$2:$F$9,MATCH($B345&amp;"|"&amp;$D345,ShiftKnowledge!$A$2:$A$9,0)),"")))</f>
        <v/>
      </c>
      <c r="J345" s="4">
        <f>IF($D345="Custom","",IFERROR(XLOOKUP($B345&amp;"|"&amp;$D345,ShiftKnowledge!$A$2:$A$9,ShiftKnowledge!$G$2:$G$9,""),IFERROR(INDEX(ShiftKnowledge!$G$2:$G$9,MATCH($B345&amp;"|"&amp;$D345,ShiftKnowledge!$A$2:$A$9,0)),"")))</f>
        <v/>
      </c>
      <c r="K345" s="4">
        <f>IF($D345="Custom","",IFERROR(XLOOKUP($B345&amp;"|"&amp;$D345,ShiftKnowledge!$A$2:$A$9,ShiftKnowledge!$H$2:$H$9,""),IFERROR(INDEX(ShiftKnowledge!$H$2:$H$9,MATCH($B345&amp;"|"&amp;$D345,ShiftKnowledge!$A$2:$A$9,0)),"")))</f>
        <v/>
      </c>
      <c r="L345" s="4">
        <f>IF($D345="Custom","",IFERROR(XLOOKUP($B345&amp;"|"&amp;$D345,ShiftKnowledge!$A$2:$A$9,ShiftKnowledge!$I$2:$I$9,""),IFERROR(INDEX(ShiftKnowledge!$I$2:$I$9,MATCH($B345&amp;"|"&amp;$D345,ShiftKnowledge!$A$2:$A$9,0)),"")))</f>
        <v/>
      </c>
      <c r="M345" s="4" t="inlineStr"/>
    </row>
    <row r="346" ht="20" customHeight="1">
      <c r="A346" s="6" t="inlineStr">
        <is>
          <t>16/11/2025</t>
        </is>
      </c>
      <c r="B346" s="6" t="inlineStr">
        <is>
          <t>General Surgery</t>
        </is>
      </c>
      <c r="C346" s="7" t="inlineStr">
        <is>
          <t>Dr. Rubab Nafees</t>
        </is>
      </c>
      <c r="D346" s="6" t="inlineStr"/>
      <c r="E346" s="6">
        <f>IF($D346="Custom","",IFERROR(XLOOKUP($B346&amp;"|"&amp;$D346,ShiftKnowledge!$A$2:$A$9,ShiftKnowledge!$D$2:$D$9,""),IFERROR(INDEX(ShiftKnowledge!$D$2:$D$9,MATCH($B346&amp;"|"&amp;$D346,ShiftKnowledge!$A$2:$A$9,0)),"")))</f>
        <v/>
      </c>
      <c r="F346" s="6" t="inlineStr"/>
      <c r="G346" s="6">
        <f>IF(AND($I346="",$L346=""),"",IFERROR(VALUE($I346),0)+IFERROR(VALUE($L346),0))</f>
        <v/>
      </c>
      <c r="H346" s="6">
        <f>IF($D346="Custom","",IFERROR(XLOOKUP($B346&amp;"|"&amp;$D346,ShiftKnowledge!$A$2:$A$9,ShiftKnowledge!$E$2:$E$9,""),IFERROR(INDEX(ShiftKnowledge!$E$2:$E$9,MATCH($B346&amp;"|"&amp;$D346,ShiftKnowledge!$A$2:$A$9,0)),"")))</f>
        <v/>
      </c>
      <c r="I346" s="6">
        <f>IF($D346="Custom","",IFERROR(XLOOKUP($B346&amp;"|"&amp;$D346,ShiftKnowledge!$A$2:$A$9,ShiftKnowledge!$F$2:$F$9,""),IFERROR(INDEX(ShiftKnowledge!$F$2:$F$9,MATCH($B346&amp;"|"&amp;$D346,ShiftKnowledge!$A$2:$A$9,0)),"")))</f>
        <v/>
      </c>
      <c r="J346" s="6">
        <f>IF($D346="Custom","",IFERROR(XLOOKUP($B346&amp;"|"&amp;$D346,ShiftKnowledge!$A$2:$A$9,ShiftKnowledge!$G$2:$G$9,""),IFERROR(INDEX(ShiftKnowledge!$G$2:$G$9,MATCH($B346&amp;"|"&amp;$D346,ShiftKnowledge!$A$2:$A$9,0)),"")))</f>
        <v/>
      </c>
      <c r="K346" s="6">
        <f>IF($D346="Custom","",IFERROR(XLOOKUP($B346&amp;"|"&amp;$D346,ShiftKnowledge!$A$2:$A$9,ShiftKnowledge!$H$2:$H$9,""),IFERROR(INDEX(ShiftKnowledge!$H$2:$H$9,MATCH($B346&amp;"|"&amp;$D346,ShiftKnowledge!$A$2:$A$9,0)),"")))</f>
        <v/>
      </c>
      <c r="L346" s="6">
        <f>IF($D346="Custom","",IFERROR(XLOOKUP($B346&amp;"|"&amp;$D346,ShiftKnowledge!$A$2:$A$9,ShiftKnowledge!$I$2:$I$9,""),IFERROR(INDEX(ShiftKnowledge!$I$2:$I$9,MATCH($B346&amp;"|"&amp;$D346,ShiftKnowledge!$A$2:$A$9,0)),"")))</f>
        <v/>
      </c>
      <c r="M346" s="6" t="inlineStr"/>
    </row>
    <row r="347" ht="20" customHeight="1">
      <c r="A347" s="4" t="inlineStr">
        <is>
          <t>16/11/2025</t>
        </is>
      </c>
      <c r="B347" s="4" t="inlineStr">
        <is>
          <t>Gynaecology</t>
        </is>
      </c>
      <c r="C347" s="5" t="inlineStr">
        <is>
          <t>Dr. Rubeena Badar Khan</t>
        </is>
      </c>
      <c r="D347" s="4" t="inlineStr"/>
      <c r="E347" s="4">
        <f>IF($D347="Custom","",IFERROR(XLOOKUP($B347&amp;"|"&amp;$D347,ShiftKnowledge!$A$2:$A$9,ShiftKnowledge!$D$2:$D$9,""),IFERROR(INDEX(ShiftKnowledge!$D$2:$D$9,MATCH($B347&amp;"|"&amp;$D347,ShiftKnowledge!$A$2:$A$9,0)),"")))</f>
        <v/>
      </c>
      <c r="F347" s="4" t="inlineStr"/>
      <c r="G347" s="4">
        <f>IF(AND($I347="",$L347=""),"",IFERROR(VALUE($I347),0)+IFERROR(VALUE($L347),0))</f>
        <v/>
      </c>
      <c r="H347" s="4">
        <f>IF($D347="Custom","",IFERROR(XLOOKUP($B347&amp;"|"&amp;$D347,ShiftKnowledge!$A$2:$A$9,ShiftKnowledge!$E$2:$E$9,""),IFERROR(INDEX(ShiftKnowledge!$E$2:$E$9,MATCH($B347&amp;"|"&amp;$D347,ShiftKnowledge!$A$2:$A$9,0)),"")))</f>
        <v/>
      </c>
      <c r="I347" s="4">
        <f>IF($D347="Custom","",IFERROR(XLOOKUP($B347&amp;"|"&amp;$D347,ShiftKnowledge!$A$2:$A$9,ShiftKnowledge!$F$2:$F$9,""),IFERROR(INDEX(ShiftKnowledge!$F$2:$F$9,MATCH($B347&amp;"|"&amp;$D347,ShiftKnowledge!$A$2:$A$9,0)),"")))</f>
        <v/>
      </c>
      <c r="J347" s="4">
        <f>IF($D347="Custom","",IFERROR(XLOOKUP($B347&amp;"|"&amp;$D347,ShiftKnowledge!$A$2:$A$9,ShiftKnowledge!$G$2:$G$9,""),IFERROR(INDEX(ShiftKnowledge!$G$2:$G$9,MATCH($B347&amp;"|"&amp;$D347,ShiftKnowledge!$A$2:$A$9,0)),"")))</f>
        <v/>
      </c>
      <c r="K347" s="4">
        <f>IF($D347="Custom","",IFERROR(XLOOKUP($B347&amp;"|"&amp;$D347,ShiftKnowledge!$A$2:$A$9,ShiftKnowledge!$H$2:$H$9,""),IFERROR(INDEX(ShiftKnowledge!$H$2:$H$9,MATCH($B347&amp;"|"&amp;$D347,ShiftKnowledge!$A$2:$A$9,0)),"")))</f>
        <v/>
      </c>
      <c r="L347" s="4">
        <f>IF($D347="Custom","",IFERROR(XLOOKUP($B347&amp;"|"&amp;$D347,ShiftKnowledge!$A$2:$A$9,ShiftKnowledge!$I$2:$I$9,""),IFERROR(INDEX(ShiftKnowledge!$I$2:$I$9,MATCH($B347&amp;"|"&amp;$D347,ShiftKnowledge!$A$2:$A$9,0)),"")))</f>
        <v/>
      </c>
      <c r="M347" s="4" t="inlineStr"/>
    </row>
    <row r="348" ht="20" customHeight="1">
      <c r="A348" s="6" t="inlineStr">
        <is>
          <t>16/11/2025</t>
        </is>
      </c>
      <c r="B348" s="6" t="inlineStr">
        <is>
          <t>Dental</t>
        </is>
      </c>
      <c r="C348" s="7" t="inlineStr">
        <is>
          <t>Dr. Safa Abdul Gayyoom</t>
        </is>
      </c>
      <c r="D348" s="6" t="inlineStr"/>
      <c r="E348" s="6">
        <f>IF($D348="Custom","",IFERROR(XLOOKUP($B348&amp;"|"&amp;$D348,ShiftKnowledge!$A$2:$A$9,ShiftKnowledge!$D$2:$D$9,""),IFERROR(INDEX(ShiftKnowledge!$D$2:$D$9,MATCH($B348&amp;"|"&amp;$D348,ShiftKnowledge!$A$2:$A$9,0)),"")))</f>
        <v/>
      </c>
      <c r="F348" s="6" t="inlineStr"/>
      <c r="G348" s="6">
        <f>IF(AND($I348="",$L348=""),"",IFERROR(VALUE($I348),0)+IFERROR(VALUE($L348),0))</f>
        <v/>
      </c>
      <c r="H348" s="6">
        <f>IF($D348="Custom","",IFERROR(XLOOKUP($B348&amp;"|"&amp;$D348,ShiftKnowledge!$A$2:$A$9,ShiftKnowledge!$E$2:$E$9,""),IFERROR(INDEX(ShiftKnowledge!$E$2:$E$9,MATCH($B348&amp;"|"&amp;$D348,ShiftKnowledge!$A$2:$A$9,0)),"")))</f>
        <v/>
      </c>
      <c r="I348" s="6">
        <f>IF($D348="Custom","",IFERROR(XLOOKUP($B348&amp;"|"&amp;$D348,ShiftKnowledge!$A$2:$A$9,ShiftKnowledge!$F$2:$F$9,""),IFERROR(INDEX(ShiftKnowledge!$F$2:$F$9,MATCH($B348&amp;"|"&amp;$D348,ShiftKnowledge!$A$2:$A$9,0)),"")))</f>
        <v/>
      </c>
      <c r="J348" s="6">
        <f>IF($D348="Custom","",IFERROR(XLOOKUP($B348&amp;"|"&amp;$D348,ShiftKnowledge!$A$2:$A$9,ShiftKnowledge!$G$2:$G$9,""),IFERROR(INDEX(ShiftKnowledge!$G$2:$G$9,MATCH($B348&amp;"|"&amp;$D348,ShiftKnowledge!$A$2:$A$9,0)),"")))</f>
        <v/>
      </c>
      <c r="K348" s="6">
        <f>IF($D348="Custom","",IFERROR(XLOOKUP($B348&amp;"|"&amp;$D348,ShiftKnowledge!$A$2:$A$9,ShiftKnowledge!$H$2:$H$9,""),IFERROR(INDEX(ShiftKnowledge!$H$2:$H$9,MATCH($B348&amp;"|"&amp;$D348,ShiftKnowledge!$A$2:$A$9,0)),"")))</f>
        <v/>
      </c>
      <c r="L348" s="6">
        <f>IF($D348="Custom","",IFERROR(XLOOKUP($B348&amp;"|"&amp;$D348,ShiftKnowledge!$A$2:$A$9,ShiftKnowledge!$I$2:$I$9,""),IFERROR(INDEX(ShiftKnowledge!$I$2:$I$9,MATCH($B348&amp;"|"&amp;$D348,ShiftKnowledge!$A$2:$A$9,0)),"")))</f>
        <v/>
      </c>
      <c r="M348" s="6" t="inlineStr"/>
    </row>
    <row r="349" ht="20" customHeight="1">
      <c r="A349" s="4" t="inlineStr">
        <is>
          <t>16/11/2025</t>
        </is>
      </c>
      <c r="B349" s="4" t="inlineStr">
        <is>
          <t>Internal Medicine</t>
        </is>
      </c>
      <c r="C349" s="5" t="inlineStr">
        <is>
          <t>Dr. Saroj Thapa</t>
        </is>
      </c>
      <c r="D349" s="4" t="inlineStr"/>
      <c r="E349" s="4">
        <f>IF($D349="Custom","",IFERROR(XLOOKUP($B349&amp;"|"&amp;$D349,ShiftKnowledge!$A$2:$A$9,ShiftKnowledge!$D$2:$D$9,""),IFERROR(INDEX(ShiftKnowledge!$D$2:$D$9,MATCH($B349&amp;"|"&amp;$D349,ShiftKnowledge!$A$2:$A$9,0)),"")))</f>
        <v/>
      </c>
      <c r="F349" s="4" t="inlineStr"/>
      <c r="G349" s="4">
        <f>IF(AND($I349="",$L349=""),"",IFERROR(VALUE($I349),0)+IFERROR(VALUE($L349),0))</f>
        <v/>
      </c>
      <c r="H349" s="4">
        <f>IF($D349="Custom","",IFERROR(XLOOKUP($B349&amp;"|"&amp;$D349,ShiftKnowledge!$A$2:$A$9,ShiftKnowledge!$E$2:$E$9,""),IFERROR(INDEX(ShiftKnowledge!$E$2:$E$9,MATCH($B349&amp;"|"&amp;$D349,ShiftKnowledge!$A$2:$A$9,0)),"")))</f>
        <v/>
      </c>
      <c r="I349" s="4">
        <f>IF($D349="Custom","",IFERROR(XLOOKUP($B349&amp;"|"&amp;$D349,ShiftKnowledge!$A$2:$A$9,ShiftKnowledge!$F$2:$F$9,""),IFERROR(INDEX(ShiftKnowledge!$F$2:$F$9,MATCH($B349&amp;"|"&amp;$D349,ShiftKnowledge!$A$2:$A$9,0)),"")))</f>
        <v/>
      </c>
      <c r="J349" s="4">
        <f>IF($D349="Custom","",IFERROR(XLOOKUP($B349&amp;"|"&amp;$D349,ShiftKnowledge!$A$2:$A$9,ShiftKnowledge!$G$2:$G$9,""),IFERROR(INDEX(ShiftKnowledge!$G$2:$G$9,MATCH($B349&amp;"|"&amp;$D349,ShiftKnowledge!$A$2:$A$9,0)),"")))</f>
        <v/>
      </c>
      <c r="K349" s="4">
        <f>IF($D349="Custom","",IFERROR(XLOOKUP($B349&amp;"|"&amp;$D349,ShiftKnowledge!$A$2:$A$9,ShiftKnowledge!$H$2:$H$9,""),IFERROR(INDEX(ShiftKnowledge!$H$2:$H$9,MATCH($B349&amp;"|"&amp;$D349,ShiftKnowledge!$A$2:$A$9,0)),"")))</f>
        <v/>
      </c>
      <c r="L349" s="4">
        <f>IF($D349="Custom","",IFERROR(XLOOKUP($B349&amp;"|"&amp;$D349,ShiftKnowledge!$A$2:$A$9,ShiftKnowledge!$I$2:$I$9,""),IFERROR(INDEX(ShiftKnowledge!$I$2:$I$9,MATCH($B349&amp;"|"&amp;$D349,ShiftKnowledge!$A$2:$A$9,0)),"")))</f>
        <v/>
      </c>
      <c r="M349" s="4" t="inlineStr"/>
    </row>
    <row r="350" ht="20" customHeight="1">
      <c r="A350" s="6" t="inlineStr">
        <is>
          <t>16/11/2025</t>
        </is>
      </c>
      <c r="B350" s="6" t="inlineStr">
        <is>
          <t>General Surgery</t>
        </is>
      </c>
      <c r="C350" s="7" t="inlineStr">
        <is>
          <t>Dr. Su Mon Kyaw</t>
        </is>
      </c>
      <c r="D350" s="6" t="inlineStr"/>
      <c r="E350" s="6">
        <f>IF($D350="Custom","",IFERROR(XLOOKUP($B350&amp;"|"&amp;$D350,ShiftKnowledge!$A$2:$A$9,ShiftKnowledge!$D$2:$D$9,""),IFERROR(INDEX(ShiftKnowledge!$D$2:$D$9,MATCH($B350&amp;"|"&amp;$D350,ShiftKnowledge!$A$2:$A$9,0)),"")))</f>
        <v/>
      </c>
      <c r="F350" s="6" t="inlineStr"/>
      <c r="G350" s="6">
        <f>IF(AND($I350="",$L350=""),"",IFERROR(VALUE($I350),0)+IFERROR(VALUE($L350),0))</f>
        <v/>
      </c>
      <c r="H350" s="6">
        <f>IF($D350="Custom","",IFERROR(XLOOKUP($B350&amp;"|"&amp;$D350,ShiftKnowledge!$A$2:$A$9,ShiftKnowledge!$E$2:$E$9,""),IFERROR(INDEX(ShiftKnowledge!$E$2:$E$9,MATCH($B350&amp;"|"&amp;$D350,ShiftKnowledge!$A$2:$A$9,0)),"")))</f>
        <v/>
      </c>
      <c r="I350" s="6">
        <f>IF($D350="Custom","",IFERROR(XLOOKUP($B350&amp;"|"&amp;$D350,ShiftKnowledge!$A$2:$A$9,ShiftKnowledge!$F$2:$F$9,""),IFERROR(INDEX(ShiftKnowledge!$F$2:$F$9,MATCH($B350&amp;"|"&amp;$D350,ShiftKnowledge!$A$2:$A$9,0)),"")))</f>
        <v/>
      </c>
      <c r="J350" s="6">
        <f>IF($D350="Custom","",IFERROR(XLOOKUP($B350&amp;"|"&amp;$D350,ShiftKnowledge!$A$2:$A$9,ShiftKnowledge!$G$2:$G$9,""),IFERROR(INDEX(ShiftKnowledge!$G$2:$G$9,MATCH($B350&amp;"|"&amp;$D350,ShiftKnowledge!$A$2:$A$9,0)),"")))</f>
        <v/>
      </c>
      <c r="K350" s="6">
        <f>IF($D350="Custom","",IFERROR(XLOOKUP($B350&amp;"|"&amp;$D350,ShiftKnowledge!$A$2:$A$9,ShiftKnowledge!$H$2:$H$9,""),IFERROR(INDEX(ShiftKnowledge!$H$2:$H$9,MATCH($B350&amp;"|"&amp;$D350,ShiftKnowledge!$A$2:$A$9,0)),"")))</f>
        <v/>
      </c>
      <c r="L350" s="6">
        <f>IF($D350="Custom","",IFERROR(XLOOKUP($B350&amp;"|"&amp;$D350,ShiftKnowledge!$A$2:$A$9,ShiftKnowledge!$I$2:$I$9,""),IFERROR(INDEX(ShiftKnowledge!$I$2:$I$9,MATCH($B350&amp;"|"&amp;$D350,ShiftKnowledge!$A$2:$A$9,0)),"")))</f>
        <v/>
      </c>
      <c r="M350" s="6" t="inlineStr"/>
    </row>
    <row r="351" ht="20" customHeight="1">
      <c r="A351" s="4" t="inlineStr">
        <is>
          <t>16/11/2025</t>
        </is>
      </c>
      <c r="B351" s="4" t="inlineStr">
        <is>
          <t>Internal Medicine</t>
        </is>
      </c>
      <c r="C351" s="5" t="inlineStr">
        <is>
          <t>Dr. Sumretee</t>
        </is>
      </c>
      <c r="D351" s="4" t="inlineStr"/>
      <c r="E351" s="4">
        <f>IF($D351="Custom","",IFERROR(XLOOKUP($B351&amp;"|"&amp;$D351,ShiftKnowledge!$A$2:$A$9,ShiftKnowledge!$D$2:$D$9,""),IFERROR(INDEX(ShiftKnowledge!$D$2:$D$9,MATCH($B351&amp;"|"&amp;$D351,ShiftKnowledge!$A$2:$A$9,0)),"")))</f>
        <v/>
      </c>
      <c r="F351" s="4" t="inlineStr"/>
      <c r="G351" s="4">
        <f>IF(AND($I351="",$L351=""),"",IFERROR(VALUE($I351),0)+IFERROR(VALUE($L351),0))</f>
        <v/>
      </c>
      <c r="H351" s="4">
        <f>IF($D351="Custom","",IFERROR(XLOOKUP($B351&amp;"|"&amp;$D351,ShiftKnowledge!$A$2:$A$9,ShiftKnowledge!$E$2:$E$9,""),IFERROR(INDEX(ShiftKnowledge!$E$2:$E$9,MATCH($B351&amp;"|"&amp;$D351,ShiftKnowledge!$A$2:$A$9,0)),"")))</f>
        <v/>
      </c>
      <c r="I351" s="4">
        <f>IF($D351="Custom","",IFERROR(XLOOKUP($B351&amp;"|"&amp;$D351,ShiftKnowledge!$A$2:$A$9,ShiftKnowledge!$F$2:$F$9,""),IFERROR(INDEX(ShiftKnowledge!$F$2:$F$9,MATCH($B351&amp;"|"&amp;$D351,ShiftKnowledge!$A$2:$A$9,0)),"")))</f>
        <v/>
      </c>
      <c r="J351" s="4">
        <f>IF($D351="Custom","",IFERROR(XLOOKUP($B351&amp;"|"&amp;$D351,ShiftKnowledge!$A$2:$A$9,ShiftKnowledge!$G$2:$G$9,""),IFERROR(INDEX(ShiftKnowledge!$G$2:$G$9,MATCH($B351&amp;"|"&amp;$D351,ShiftKnowledge!$A$2:$A$9,0)),"")))</f>
        <v/>
      </c>
      <c r="K351" s="4">
        <f>IF($D351="Custom","",IFERROR(XLOOKUP($B351&amp;"|"&amp;$D351,ShiftKnowledge!$A$2:$A$9,ShiftKnowledge!$H$2:$H$9,""),IFERROR(INDEX(ShiftKnowledge!$H$2:$H$9,MATCH($B351&amp;"|"&amp;$D351,ShiftKnowledge!$A$2:$A$9,0)),"")))</f>
        <v/>
      </c>
      <c r="L351" s="4">
        <f>IF($D351="Custom","",IFERROR(XLOOKUP($B351&amp;"|"&amp;$D351,ShiftKnowledge!$A$2:$A$9,ShiftKnowledge!$I$2:$I$9,""),IFERROR(INDEX(ShiftKnowledge!$I$2:$I$9,MATCH($B351&amp;"|"&amp;$D351,ShiftKnowledge!$A$2:$A$9,0)),"")))</f>
        <v/>
      </c>
      <c r="M351" s="4" t="inlineStr"/>
    </row>
    <row r="352" ht="20" customHeight="1">
      <c r="A352" s="6" t="inlineStr">
        <is>
          <t>16/11/2025</t>
        </is>
      </c>
      <c r="B352" s="6" t="inlineStr">
        <is>
          <t>Orthopaedics</t>
        </is>
      </c>
      <c r="C352" s="7" t="inlineStr">
        <is>
          <t>Dr. Vinod Ramlal</t>
        </is>
      </c>
      <c r="D352" s="6" t="inlineStr"/>
      <c r="E352" s="6">
        <f>IF($D352="Custom","",IFERROR(XLOOKUP($B352&amp;"|"&amp;$D352,ShiftKnowledge!$A$2:$A$9,ShiftKnowledge!$D$2:$D$9,""),IFERROR(INDEX(ShiftKnowledge!$D$2:$D$9,MATCH($B352&amp;"|"&amp;$D352,ShiftKnowledge!$A$2:$A$9,0)),"")))</f>
        <v/>
      </c>
      <c r="F352" s="6" t="inlineStr"/>
      <c r="G352" s="6">
        <f>IF(AND($I352="",$L352=""),"",IFERROR(VALUE($I352),0)+IFERROR(VALUE($L352),0))</f>
        <v/>
      </c>
      <c r="H352" s="6">
        <f>IF($D352="Custom","",IFERROR(XLOOKUP($B352&amp;"|"&amp;$D352,ShiftKnowledge!$A$2:$A$9,ShiftKnowledge!$E$2:$E$9,""),IFERROR(INDEX(ShiftKnowledge!$E$2:$E$9,MATCH($B352&amp;"|"&amp;$D352,ShiftKnowledge!$A$2:$A$9,0)),"")))</f>
        <v/>
      </c>
      <c r="I352" s="6">
        <f>IF($D352="Custom","",IFERROR(XLOOKUP($B352&amp;"|"&amp;$D352,ShiftKnowledge!$A$2:$A$9,ShiftKnowledge!$F$2:$F$9,""),IFERROR(INDEX(ShiftKnowledge!$F$2:$F$9,MATCH($B352&amp;"|"&amp;$D352,ShiftKnowledge!$A$2:$A$9,0)),"")))</f>
        <v/>
      </c>
      <c r="J352" s="6">
        <f>IF($D352="Custom","",IFERROR(XLOOKUP($B352&amp;"|"&amp;$D352,ShiftKnowledge!$A$2:$A$9,ShiftKnowledge!$G$2:$G$9,""),IFERROR(INDEX(ShiftKnowledge!$G$2:$G$9,MATCH($B352&amp;"|"&amp;$D352,ShiftKnowledge!$A$2:$A$9,0)),"")))</f>
        <v/>
      </c>
      <c r="K352" s="6">
        <f>IF($D352="Custom","",IFERROR(XLOOKUP($B352&amp;"|"&amp;$D352,ShiftKnowledge!$A$2:$A$9,ShiftKnowledge!$H$2:$H$9,""),IFERROR(INDEX(ShiftKnowledge!$H$2:$H$9,MATCH($B352&amp;"|"&amp;$D352,ShiftKnowledge!$A$2:$A$9,0)),"")))</f>
        <v/>
      </c>
      <c r="L352" s="6">
        <f>IF($D352="Custom","",IFERROR(XLOOKUP($B352&amp;"|"&amp;$D352,ShiftKnowledge!$A$2:$A$9,ShiftKnowledge!$I$2:$I$9,""),IFERROR(INDEX(ShiftKnowledge!$I$2:$I$9,MATCH($B352&amp;"|"&amp;$D352,ShiftKnowledge!$A$2:$A$9,0)),"")))</f>
        <v/>
      </c>
      <c r="M352" s="6" t="inlineStr"/>
    </row>
    <row r="353" ht="20" customHeight="1">
      <c r="A353" s="4" t="inlineStr">
        <is>
          <t>16/11/2025</t>
        </is>
      </c>
      <c r="B353" s="4" t="inlineStr">
        <is>
          <t>Paediatrics</t>
        </is>
      </c>
      <c r="C353" s="5" t="inlineStr">
        <is>
          <t>Dr. Yi Nwe Soe</t>
        </is>
      </c>
      <c r="D353" s="4" t="inlineStr"/>
      <c r="E353" s="4">
        <f>IF($D353="Custom","",IFERROR(XLOOKUP($B353&amp;"|"&amp;$D353,ShiftKnowledge!$A$2:$A$9,ShiftKnowledge!$D$2:$D$9,""),IFERROR(INDEX(ShiftKnowledge!$D$2:$D$9,MATCH($B353&amp;"|"&amp;$D353,ShiftKnowledge!$A$2:$A$9,0)),"")))</f>
        <v/>
      </c>
      <c r="F353" s="4" t="inlineStr"/>
      <c r="G353" s="4">
        <f>IF(AND($I353="",$L353=""),"",IFERROR(VALUE($I353),0)+IFERROR(VALUE($L353),0))</f>
        <v/>
      </c>
      <c r="H353" s="4">
        <f>IF($D353="Custom","",IFERROR(XLOOKUP($B353&amp;"|"&amp;$D353,ShiftKnowledge!$A$2:$A$9,ShiftKnowledge!$E$2:$E$9,""),IFERROR(INDEX(ShiftKnowledge!$E$2:$E$9,MATCH($B353&amp;"|"&amp;$D353,ShiftKnowledge!$A$2:$A$9,0)),"")))</f>
        <v/>
      </c>
      <c r="I353" s="4">
        <f>IF($D353="Custom","",IFERROR(XLOOKUP($B353&amp;"|"&amp;$D353,ShiftKnowledge!$A$2:$A$9,ShiftKnowledge!$F$2:$F$9,""),IFERROR(INDEX(ShiftKnowledge!$F$2:$F$9,MATCH($B353&amp;"|"&amp;$D353,ShiftKnowledge!$A$2:$A$9,0)),"")))</f>
        <v/>
      </c>
      <c r="J353" s="4">
        <f>IF($D353="Custom","",IFERROR(XLOOKUP($B353&amp;"|"&amp;$D353,ShiftKnowledge!$A$2:$A$9,ShiftKnowledge!$G$2:$G$9,""),IFERROR(INDEX(ShiftKnowledge!$G$2:$G$9,MATCH($B353&amp;"|"&amp;$D353,ShiftKnowledge!$A$2:$A$9,0)),"")))</f>
        <v/>
      </c>
      <c r="K353" s="4">
        <f>IF($D353="Custom","",IFERROR(XLOOKUP($B353&amp;"|"&amp;$D353,ShiftKnowledge!$A$2:$A$9,ShiftKnowledge!$H$2:$H$9,""),IFERROR(INDEX(ShiftKnowledge!$H$2:$H$9,MATCH($B353&amp;"|"&amp;$D353,ShiftKnowledge!$A$2:$A$9,0)),"")))</f>
        <v/>
      </c>
      <c r="L353" s="4">
        <f>IF($D353="Custom","",IFERROR(XLOOKUP($B353&amp;"|"&amp;$D353,ShiftKnowledge!$A$2:$A$9,ShiftKnowledge!$I$2:$I$9,""),IFERROR(INDEX(ShiftKnowledge!$I$2:$I$9,MATCH($B353&amp;"|"&amp;$D353,ShiftKnowledge!$A$2:$A$9,0)),"")))</f>
        <v/>
      </c>
      <c r="M353" s="4" t="inlineStr"/>
    </row>
    <row r="354" ht="20" customHeight="1">
      <c r="A354" s="6" t="inlineStr">
        <is>
          <t>16/11/2025</t>
        </is>
      </c>
      <c r="B354" s="6" t="inlineStr">
        <is>
          <t>Gynaecology</t>
        </is>
      </c>
      <c r="C354" s="7" t="inlineStr">
        <is>
          <t>Dr. Zarina Kabilova</t>
        </is>
      </c>
      <c r="D354" s="6" t="inlineStr"/>
      <c r="E354" s="6">
        <f>IF($D354="Custom","",IFERROR(XLOOKUP($B354&amp;"|"&amp;$D354,ShiftKnowledge!$A$2:$A$9,ShiftKnowledge!$D$2:$D$9,""),IFERROR(INDEX(ShiftKnowledge!$D$2:$D$9,MATCH($B354&amp;"|"&amp;$D354,ShiftKnowledge!$A$2:$A$9,0)),"")))</f>
        <v/>
      </c>
      <c r="F354" s="6" t="inlineStr"/>
      <c r="G354" s="6">
        <f>IF(AND($I354="",$L354=""),"",IFERROR(VALUE($I354),0)+IFERROR(VALUE($L354),0))</f>
        <v/>
      </c>
      <c r="H354" s="6">
        <f>IF($D354="Custom","",IFERROR(XLOOKUP($B354&amp;"|"&amp;$D354,ShiftKnowledge!$A$2:$A$9,ShiftKnowledge!$E$2:$E$9,""),IFERROR(INDEX(ShiftKnowledge!$E$2:$E$9,MATCH($B354&amp;"|"&amp;$D354,ShiftKnowledge!$A$2:$A$9,0)),"")))</f>
        <v/>
      </c>
      <c r="I354" s="6">
        <f>IF($D354="Custom","",IFERROR(XLOOKUP($B354&amp;"|"&amp;$D354,ShiftKnowledge!$A$2:$A$9,ShiftKnowledge!$F$2:$F$9,""),IFERROR(INDEX(ShiftKnowledge!$F$2:$F$9,MATCH($B354&amp;"|"&amp;$D354,ShiftKnowledge!$A$2:$A$9,0)),"")))</f>
        <v/>
      </c>
      <c r="J354" s="6">
        <f>IF($D354="Custom","",IFERROR(XLOOKUP($B354&amp;"|"&amp;$D354,ShiftKnowledge!$A$2:$A$9,ShiftKnowledge!$G$2:$G$9,""),IFERROR(INDEX(ShiftKnowledge!$G$2:$G$9,MATCH($B354&amp;"|"&amp;$D354,ShiftKnowledge!$A$2:$A$9,0)),"")))</f>
        <v/>
      </c>
      <c r="K354" s="6">
        <f>IF($D354="Custom","",IFERROR(XLOOKUP($B354&amp;"|"&amp;$D354,ShiftKnowledge!$A$2:$A$9,ShiftKnowledge!$H$2:$H$9,""),IFERROR(INDEX(ShiftKnowledge!$H$2:$H$9,MATCH($B354&amp;"|"&amp;$D354,ShiftKnowledge!$A$2:$A$9,0)),"")))</f>
        <v/>
      </c>
      <c r="L354" s="6">
        <f>IF($D354="Custom","",IFERROR(XLOOKUP($B354&amp;"|"&amp;$D354,ShiftKnowledge!$A$2:$A$9,ShiftKnowledge!$I$2:$I$9,""),IFERROR(INDEX(ShiftKnowledge!$I$2:$I$9,MATCH($B354&amp;"|"&amp;$D354,ShiftKnowledge!$A$2:$A$9,0)),"")))</f>
        <v/>
      </c>
      <c r="M354" s="6" t="inlineStr"/>
    </row>
    <row r="355" ht="20" customHeight="1">
      <c r="A355" s="4" t="inlineStr">
        <is>
          <t>17/11/2025</t>
        </is>
      </c>
      <c r="B355" s="4" t="inlineStr">
        <is>
          <t>Orthopaedics</t>
        </is>
      </c>
      <c r="C355" s="5" t="inlineStr">
        <is>
          <t>Dr. Ahmed Azim Abdul Shakoor</t>
        </is>
      </c>
      <c r="D355" s="4" t="inlineStr"/>
      <c r="E355" s="4">
        <f>IF($D355="Custom","",IFERROR(XLOOKUP($B355&amp;"|"&amp;$D355,ShiftKnowledge!$A$2:$A$9,ShiftKnowledge!$D$2:$D$9,""),IFERROR(INDEX(ShiftKnowledge!$D$2:$D$9,MATCH($B355&amp;"|"&amp;$D355,ShiftKnowledge!$A$2:$A$9,0)),"")))</f>
        <v/>
      </c>
      <c r="F355" s="4" t="inlineStr"/>
      <c r="G355" s="4">
        <f>IF(AND($I355="",$L355=""),"",IFERROR(VALUE($I355),0)+IFERROR(VALUE($L355),0))</f>
        <v/>
      </c>
      <c r="H355" s="4">
        <f>IF($D355="Custom","",IFERROR(XLOOKUP($B355&amp;"|"&amp;$D355,ShiftKnowledge!$A$2:$A$9,ShiftKnowledge!$E$2:$E$9,""),IFERROR(INDEX(ShiftKnowledge!$E$2:$E$9,MATCH($B355&amp;"|"&amp;$D355,ShiftKnowledge!$A$2:$A$9,0)),"")))</f>
        <v/>
      </c>
      <c r="I355" s="4">
        <f>IF($D355="Custom","",IFERROR(XLOOKUP($B355&amp;"|"&amp;$D355,ShiftKnowledge!$A$2:$A$9,ShiftKnowledge!$F$2:$F$9,""),IFERROR(INDEX(ShiftKnowledge!$F$2:$F$9,MATCH($B355&amp;"|"&amp;$D355,ShiftKnowledge!$A$2:$A$9,0)),"")))</f>
        <v/>
      </c>
      <c r="J355" s="4">
        <f>IF($D355="Custom","",IFERROR(XLOOKUP($B355&amp;"|"&amp;$D355,ShiftKnowledge!$A$2:$A$9,ShiftKnowledge!$G$2:$G$9,""),IFERROR(INDEX(ShiftKnowledge!$G$2:$G$9,MATCH($B355&amp;"|"&amp;$D355,ShiftKnowledge!$A$2:$A$9,0)),"")))</f>
        <v/>
      </c>
      <c r="K355" s="4">
        <f>IF($D355="Custom","",IFERROR(XLOOKUP($B355&amp;"|"&amp;$D355,ShiftKnowledge!$A$2:$A$9,ShiftKnowledge!$H$2:$H$9,""),IFERROR(INDEX(ShiftKnowledge!$H$2:$H$9,MATCH($B355&amp;"|"&amp;$D355,ShiftKnowledge!$A$2:$A$9,0)),"")))</f>
        <v/>
      </c>
      <c r="L355" s="4">
        <f>IF($D355="Custom","",IFERROR(XLOOKUP($B355&amp;"|"&amp;$D355,ShiftKnowledge!$A$2:$A$9,ShiftKnowledge!$I$2:$I$9,""),IFERROR(INDEX(ShiftKnowledge!$I$2:$I$9,MATCH($B355&amp;"|"&amp;$D355,ShiftKnowledge!$A$2:$A$9,0)),"")))</f>
        <v/>
      </c>
      <c r="M355" s="4" t="inlineStr"/>
    </row>
    <row r="356" ht="20" customHeight="1">
      <c r="A356" s="6" t="inlineStr">
        <is>
          <t>17/11/2025</t>
        </is>
      </c>
      <c r="B356" s="6" t="inlineStr">
        <is>
          <t>Dermatology</t>
        </is>
      </c>
      <c r="C356" s="7" t="inlineStr">
        <is>
          <t>Dr. Ahmed Fekry Bahyeldin Khalafallah</t>
        </is>
      </c>
      <c r="D356" s="6" t="inlineStr"/>
      <c r="E356" s="6">
        <f>IF($D356="Custom","",IFERROR(XLOOKUP($B356&amp;"|"&amp;$D356,ShiftKnowledge!$A$2:$A$9,ShiftKnowledge!$D$2:$D$9,""),IFERROR(INDEX(ShiftKnowledge!$D$2:$D$9,MATCH($B356&amp;"|"&amp;$D356,ShiftKnowledge!$A$2:$A$9,0)),"")))</f>
        <v/>
      </c>
      <c r="F356" s="6" t="inlineStr"/>
      <c r="G356" s="6">
        <f>IF(AND($I356="",$L356=""),"",IFERROR(VALUE($I356),0)+IFERROR(VALUE($L356),0))</f>
        <v/>
      </c>
      <c r="H356" s="6">
        <f>IF($D356="Custom","",IFERROR(XLOOKUP($B356&amp;"|"&amp;$D356,ShiftKnowledge!$A$2:$A$9,ShiftKnowledge!$E$2:$E$9,""),IFERROR(INDEX(ShiftKnowledge!$E$2:$E$9,MATCH($B356&amp;"|"&amp;$D356,ShiftKnowledge!$A$2:$A$9,0)),"")))</f>
        <v/>
      </c>
      <c r="I356" s="6">
        <f>IF($D356="Custom","",IFERROR(XLOOKUP($B356&amp;"|"&amp;$D356,ShiftKnowledge!$A$2:$A$9,ShiftKnowledge!$F$2:$F$9,""),IFERROR(INDEX(ShiftKnowledge!$F$2:$F$9,MATCH($B356&amp;"|"&amp;$D356,ShiftKnowledge!$A$2:$A$9,0)),"")))</f>
        <v/>
      </c>
      <c r="J356" s="6">
        <f>IF($D356="Custom","",IFERROR(XLOOKUP($B356&amp;"|"&amp;$D356,ShiftKnowledge!$A$2:$A$9,ShiftKnowledge!$G$2:$G$9,""),IFERROR(INDEX(ShiftKnowledge!$G$2:$G$9,MATCH($B356&amp;"|"&amp;$D356,ShiftKnowledge!$A$2:$A$9,0)),"")))</f>
        <v/>
      </c>
      <c r="K356" s="6">
        <f>IF($D356="Custom","",IFERROR(XLOOKUP($B356&amp;"|"&amp;$D356,ShiftKnowledge!$A$2:$A$9,ShiftKnowledge!$H$2:$H$9,""),IFERROR(INDEX(ShiftKnowledge!$H$2:$H$9,MATCH($B356&amp;"|"&amp;$D356,ShiftKnowledge!$A$2:$A$9,0)),"")))</f>
        <v/>
      </c>
      <c r="L356" s="6">
        <f>IF($D356="Custom","",IFERROR(XLOOKUP($B356&amp;"|"&amp;$D356,ShiftKnowledge!$A$2:$A$9,ShiftKnowledge!$I$2:$I$9,""),IFERROR(INDEX(ShiftKnowledge!$I$2:$I$9,MATCH($B356&amp;"|"&amp;$D356,ShiftKnowledge!$A$2:$A$9,0)),"")))</f>
        <v/>
      </c>
      <c r="M356" s="6" t="inlineStr"/>
    </row>
    <row r="357" ht="20" customHeight="1">
      <c r="A357" s="4" t="inlineStr">
        <is>
          <t>17/11/2025</t>
        </is>
      </c>
      <c r="B357" s="4" t="inlineStr">
        <is>
          <t>Pulmonology</t>
        </is>
      </c>
      <c r="C357" s="5" t="inlineStr">
        <is>
          <t>Dr. Ahmed Gamal Youssef Meselhi</t>
        </is>
      </c>
      <c r="D357" s="4" t="inlineStr"/>
      <c r="E357" s="4">
        <f>IF($D357="Custom","",IFERROR(XLOOKUP($B357&amp;"|"&amp;$D357,ShiftKnowledge!$A$2:$A$9,ShiftKnowledge!$D$2:$D$9,""),IFERROR(INDEX(ShiftKnowledge!$D$2:$D$9,MATCH($B357&amp;"|"&amp;$D357,ShiftKnowledge!$A$2:$A$9,0)),"")))</f>
        <v/>
      </c>
      <c r="F357" s="4" t="inlineStr"/>
      <c r="G357" s="4">
        <f>IF(AND($I357="",$L357=""),"",IFERROR(VALUE($I357),0)+IFERROR(VALUE($L357),0))</f>
        <v/>
      </c>
      <c r="H357" s="4">
        <f>IF($D357="Custom","",IFERROR(XLOOKUP($B357&amp;"|"&amp;$D357,ShiftKnowledge!$A$2:$A$9,ShiftKnowledge!$E$2:$E$9,""),IFERROR(INDEX(ShiftKnowledge!$E$2:$E$9,MATCH($B357&amp;"|"&amp;$D357,ShiftKnowledge!$A$2:$A$9,0)),"")))</f>
        <v/>
      </c>
      <c r="I357" s="4">
        <f>IF($D357="Custom","",IFERROR(XLOOKUP($B357&amp;"|"&amp;$D357,ShiftKnowledge!$A$2:$A$9,ShiftKnowledge!$F$2:$F$9,""),IFERROR(INDEX(ShiftKnowledge!$F$2:$F$9,MATCH($B357&amp;"|"&amp;$D357,ShiftKnowledge!$A$2:$A$9,0)),"")))</f>
        <v/>
      </c>
      <c r="J357" s="4">
        <f>IF($D357="Custom","",IFERROR(XLOOKUP($B357&amp;"|"&amp;$D357,ShiftKnowledge!$A$2:$A$9,ShiftKnowledge!$G$2:$G$9,""),IFERROR(INDEX(ShiftKnowledge!$G$2:$G$9,MATCH($B357&amp;"|"&amp;$D357,ShiftKnowledge!$A$2:$A$9,0)),"")))</f>
        <v/>
      </c>
      <c r="K357" s="4">
        <f>IF($D357="Custom","",IFERROR(XLOOKUP($B357&amp;"|"&amp;$D357,ShiftKnowledge!$A$2:$A$9,ShiftKnowledge!$H$2:$H$9,""),IFERROR(INDEX(ShiftKnowledge!$H$2:$H$9,MATCH($B357&amp;"|"&amp;$D357,ShiftKnowledge!$A$2:$A$9,0)),"")))</f>
        <v/>
      </c>
      <c r="L357" s="4">
        <f>IF($D357="Custom","",IFERROR(XLOOKUP($B357&amp;"|"&amp;$D357,ShiftKnowledge!$A$2:$A$9,ShiftKnowledge!$I$2:$I$9,""),IFERROR(INDEX(ShiftKnowledge!$I$2:$I$9,MATCH($B357&amp;"|"&amp;$D357,ShiftKnowledge!$A$2:$A$9,0)),"")))</f>
        <v/>
      </c>
      <c r="M357" s="4" t="inlineStr"/>
    </row>
    <row r="358" ht="20" customHeight="1">
      <c r="A358" s="6" t="inlineStr">
        <is>
          <t>17/11/2025</t>
        </is>
      </c>
      <c r="B358" s="6" t="inlineStr">
        <is>
          <t>Dental</t>
        </is>
      </c>
      <c r="C358" s="7" t="inlineStr">
        <is>
          <t>Dr. Aishath Suha Ali</t>
        </is>
      </c>
      <c r="D358" s="6" t="inlineStr"/>
      <c r="E358" s="6">
        <f>IF($D358="Custom","",IFERROR(XLOOKUP($B358&amp;"|"&amp;$D358,ShiftKnowledge!$A$2:$A$9,ShiftKnowledge!$D$2:$D$9,""),IFERROR(INDEX(ShiftKnowledge!$D$2:$D$9,MATCH($B358&amp;"|"&amp;$D358,ShiftKnowledge!$A$2:$A$9,0)),"")))</f>
        <v/>
      </c>
      <c r="F358" s="6" t="inlineStr"/>
      <c r="G358" s="6">
        <f>IF(AND($I358="",$L358=""),"",IFERROR(VALUE($I358),0)+IFERROR(VALUE($L358),0))</f>
        <v/>
      </c>
      <c r="H358" s="6">
        <f>IF($D358="Custom","",IFERROR(XLOOKUP($B358&amp;"|"&amp;$D358,ShiftKnowledge!$A$2:$A$9,ShiftKnowledge!$E$2:$E$9,""),IFERROR(INDEX(ShiftKnowledge!$E$2:$E$9,MATCH($B358&amp;"|"&amp;$D358,ShiftKnowledge!$A$2:$A$9,0)),"")))</f>
        <v/>
      </c>
      <c r="I358" s="6">
        <f>IF($D358="Custom","",IFERROR(XLOOKUP($B358&amp;"|"&amp;$D358,ShiftKnowledge!$A$2:$A$9,ShiftKnowledge!$F$2:$F$9,""),IFERROR(INDEX(ShiftKnowledge!$F$2:$F$9,MATCH($B358&amp;"|"&amp;$D358,ShiftKnowledge!$A$2:$A$9,0)),"")))</f>
        <v/>
      </c>
      <c r="J358" s="6">
        <f>IF($D358="Custom","",IFERROR(XLOOKUP($B358&amp;"|"&amp;$D358,ShiftKnowledge!$A$2:$A$9,ShiftKnowledge!$G$2:$G$9,""),IFERROR(INDEX(ShiftKnowledge!$G$2:$G$9,MATCH($B358&amp;"|"&amp;$D358,ShiftKnowledge!$A$2:$A$9,0)),"")))</f>
        <v/>
      </c>
      <c r="K358" s="6">
        <f>IF($D358="Custom","",IFERROR(XLOOKUP($B358&amp;"|"&amp;$D358,ShiftKnowledge!$A$2:$A$9,ShiftKnowledge!$H$2:$H$9,""),IFERROR(INDEX(ShiftKnowledge!$H$2:$H$9,MATCH($B358&amp;"|"&amp;$D358,ShiftKnowledge!$A$2:$A$9,0)),"")))</f>
        <v/>
      </c>
      <c r="L358" s="6">
        <f>IF($D358="Custom","",IFERROR(XLOOKUP($B358&amp;"|"&amp;$D358,ShiftKnowledge!$A$2:$A$9,ShiftKnowledge!$I$2:$I$9,""),IFERROR(INDEX(ShiftKnowledge!$I$2:$I$9,MATCH($B358&amp;"|"&amp;$D358,ShiftKnowledge!$A$2:$A$9,0)),"")))</f>
        <v/>
      </c>
      <c r="M358" s="6" t="inlineStr"/>
    </row>
    <row r="359" ht="20" customHeight="1">
      <c r="A359" s="4" t="inlineStr">
        <is>
          <t>17/11/2025</t>
        </is>
      </c>
      <c r="B359" s="4" t="inlineStr">
        <is>
          <t>Paediatrics</t>
        </is>
      </c>
      <c r="C359" s="5" t="inlineStr">
        <is>
          <t>Dr. Alaa Adel Ahmed Sayed Ahmed Sobeih Elamawey</t>
        </is>
      </c>
      <c r="D359" s="4" t="inlineStr"/>
      <c r="E359" s="4">
        <f>IF($D359="Custom","",IFERROR(XLOOKUP($B359&amp;"|"&amp;$D359,ShiftKnowledge!$A$2:$A$9,ShiftKnowledge!$D$2:$D$9,""),IFERROR(INDEX(ShiftKnowledge!$D$2:$D$9,MATCH($B359&amp;"|"&amp;$D359,ShiftKnowledge!$A$2:$A$9,0)),"")))</f>
        <v/>
      </c>
      <c r="F359" s="4" t="inlineStr"/>
      <c r="G359" s="4">
        <f>IF(AND($I359="",$L359=""),"",IFERROR(VALUE($I359),0)+IFERROR(VALUE($L359),0))</f>
        <v/>
      </c>
      <c r="H359" s="4">
        <f>IF($D359="Custom","",IFERROR(XLOOKUP($B359&amp;"|"&amp;$D359,ShiftKnowledge!$A$2:$A$9,ShiftKnowledge!$E$2:$E$9,""),IFERROR(INDEX(ShiftKnowledge!$E$2:$E$9,MATCH($B359&amp;"|"&amp;$D359,ShiftKnowledge!$A$2:$A$9,0)),"")))</f>
        <v/>
      </c>
      <c r="I359" s="4">
        <f>IF($D359="Custom","",IFERROR(XLOOKUP($B359&amp;"|"&amp;$D359,ShiftKnowledge!$A$2:$A$9,ShiftKnowledge!$F$2:$F$9,""),IFERROR(INDEX(ShiftKnowledge!$F$2:$F$9,MATCH($B359&amp;"|"&amp;$D359,ShiftKnowledge!$A$2:$A$9,0)),"")))</f>
        <v/>
      </c>
      <c r="J359" s="4">
        <f>IF($D359="Custom","",IFERROR(XLOOKUP($B359&amp;"|"&amp;$D359,ShiftKnowledge!$A$2:$A$9,ShiftKnowledge!$G$2:$G$9,""),IFERROR(INDEX(ShiftKnowledge!$G$2:$G$9,MATCH($B359&amp;"|"&amp;$D359,ShiftKnowledge!$A$2:$A$9,0)),"")))</f>
        <v/>
      </c>
      <c r="K359" s="4">
        <f>IF($D359="Custom","",IFERROR(XLOOKUP($B359&amp;"|"&amp;$D359,ShiftKnowledge!$A$2:$A$9,ShiftKnowledge!$H$2:$H$9,""),IFERROR(INDEX(ShiftKnowledge!$H$2:$H$9,MATCH($B359&amp;"|"&amp;$D359,ShiftKnowledge!$A$2:$A$9,0)),"")))</f>
        <v/>
      </c>
      <c r="L359" s="4">
        <f>IF($D359="Custom","",IFERROR(XLOOKUP($B359&amp;"|"&amp;$D359,ShiftKnowledge!$A$2:$A$9,ShiftKnowledge!$I$2:$I$9,""),IFERROR(INDEX(ShiftKnowledge!$I$2:$I$9,MATCH($B359&amp;"|"&amp;$D359,ShiftKnowledge!$A$2:$A$9,0)),"")))</f>
        <v/>
      </c>
      <c r="M359" s="4" t="inlineStr"/>
    </row>
    <row r="360" ht="20" customHeight="1">
      <c r="A360" s="6" t="inlineStr">
        <is>
          <t>17/11/2025</t>
        </is>
      </c>
      <c r="B360" s="6" t="inlineStr">
        <is>
          <t>Paediatrics</t>
        </is>
      </c>
      <c r="C360" s="7" t="inlineStr">
        <is>
          <t>Dr. Alisha Joshi</t>
        </is>
      </c>
      <c r="D360" s="6" t="inlineStr"/>
      <c r="E360" s="6">
        <f>IF($D360="Custom","",IFERROR(XLOOKUP($B360&amp;"|"&amp;$D360,ShiftKnowledge!$A$2:$A$9,ShiftKnowledge!$D$2:$D$9,""),IFERROR(INDEX(ShiftKnowledge!$D$2:$D$9,MATCH($B360&amp;"|"&amp;$D360,ShiftKnowledge!$A$2:$A$9,0)),"")))</f>
        <v/>
      </c>
      <c r="F360" s="6" t="inlineStr"/>
      <c r="G360" s="6">
        <f>IF(AND($I360="",$L360=""),"",IFERROR(VALUE($I360),0)+IFERROR(VALUE($L360),0))</f>
        <v/>
      </c>
      <c r="H360" s="6">
        <f>IF($D360="Custom","",IFERROR(XLOOKUP($B360&amp;"|"&amp;$D360,ShiftKnowledge!$A$2:$A$9,ShiftKnowledge!$E$2:$E$9,""),IFERROR(INDEX(ShiftKnowledge!$E$2:$E$9,MATCH($B360&amp;"|"&amp;$D360,ShiftKnowledge!$A$2:$A$9,0)),"")))</f>
        <v/>
      </c>
      <c r="I360" s="6">
        <f>IF($D360="Custom","",IFERROR(XLOOKUP($B360&amp;"|"&amp;$D360,ShiftKnowledge!$A$2:$A$9,ShiftKnowledge!$F$2:$F$9,""),IFERROR(INDEX(ShiftKnowledge!$F$2:$F$9,MATCH($B360&amp;"|"&amp;$D360,ShiftKnowledge!$A$2:$A$9,0)),"")))</f>
        <v/>
      </c>
      <c r="J360" s="6">
        <f>IF($D360="Custom","",IFERROR(XLOOKUP($B360&amp;"|"&amp;$D360,ShiftKnowledge!$A$2:$A$9,ShiftKnowledge!$G$2:$G$9,""),IFERROR(INDEX(ShiftKnowledge!$G$2:$G$9,MATCH($B360&amp;"|"&amp;$D360,ShiftKnowledge!$A$2:$A$9,0)),"")))</f>
        <v/>
      </c>
      <c r="K360" s="6">
        <f>IF($D360="Custom","",IFERROR(XLOOKUP($B360&amp;"|"&amp;$D360,ShiftKnowledge!$A$2:$A$9,ShiftKnowledge!$H$2:$H$9,""),IFERROR(INDEX(ShiftKnowledge!$H$2:$H$9,MATCH($B360&amp;"|"&amp;$D360,ShiftKnowledge!$A$2:$A$9,0)),"")))</f>
        <v/>
      </c>
      <c r="L360" s="6">
        <f>IF($D360="Custom","",IFERROR(XLOOKUP($B360&amp;"|"&amp;$D360,ShiftKnowledge!$A$2:$A$9,ShiftKnowledge!$I$2:$I$9,""),IFERROR(INDEX(ShiftKnowledge!$I$2:$I$9,MATCH($B360&amp;"|"&amp;$D360,ShiftKnowledge!$A$2:$A$9,0)),"")))</f>
        <v/>
      </c>
      <c r="M360" s="6" t="inlineStr"/>
    </row>
    <row r="361" ht="20" customHeight="1">
      <c r="A361" s="4" t="inlineStr">
        <is>
          <t>17/11/2025</t>
        </is>
      </c>
      <c r="B361" s="4" t="inlineStr">
        <is>
          <t>Dental</t>
        </is>
      </c>
      <c r="C361" s="5" t="inlineStr">
        <is>
          <t>Dr. Aminath Dhunyana</t>
        </is>
      </c>
      <c r="D361" s="4" t="inlineStr"/>
      <c r="E361" s="4">
        <f>IF($D361="Custom","",IFERROR(XLOOKUP($B361&amp;"|"&amp;$D361,ShiftKnowledge!$A$2:$A$9,ShiftKnowledge!$D$2:$D$9,""),IFERROR(INDEX(ShiftKnowledge!$D$2:$D$9,MATCH($B361&amp;"|"&amp;$D361,ShiftKnowledge!$A$2:$A$9,0)),"")))</f>
        <v/>
      </c>
      <c r="F361" s="4" t="inlineStr"/>
      <c r="G361" s="4">
        <f>IF(AND($I361="",$L361=""),"",IFERROR(VALUE($I361),0)+IFERROR(VALUE($L361),0))</f>
        <v/>
      </c>
      <c r="H361" s="4">
        <f>IF($D361="Custom","",IFERROR(XLOOKUP($B361&amp;"|"&amp;$D361,ShiftKnowledge!$A$2:$A$9,ShiftKnowledge!$E$2:$E$9,""),IFERROR(INDEX(ShiftKnowledge!$E$2:$E$9,MATCH($B361&amp;"|"&amp;$D361,ShiftKnowledge!$A$2:$A$9,0)),"")))</f>
        <v/>
      </c>
      <c r="I361" s="4">
        <f>IF($D361="Custom","",IFERROR(XLOOKUP($B361&amp;"|"&amp;$D361,ShiftKnowledge!$A$2:$A$9,ShiftKnowledge!$F$2:$F$9,""),IFERROR(INDEX(ShiftKnowledge!$F$2:$F$9,MATCH($B361&amp;"|"&amp;$D361,ShiftKnowledge!$A$2:$A$9,0)),"")))</f>
        <v/>
      </c>
      <c r="J361" s="4">
        <f>IF($D361="Custom","",IFERROR(XLOOKUP($B361&amp;"|"&amp;$D361,ShiftKnowledge!$A$2:$A$9,ShiftKnowledge!$G$2:$G$9,""),IFERROR(INDEX(ShiftKnowledge!$G$2:$G$9,MATCH($B361&amp;"|"&amp;$D361,ShiftKnowledge!$A$2:$A$9,0)),"")))</f>
        <v/>
      </c>
      <c r="K361" s="4">
        <f>IF($D361="Custom","",IFERROR(XLOOKUP($B361&amp;"|"&amp;$D361,ShiftKnowledge!$A$2:$A$9,ShiftKnowledge!$H$2:$H$9,""),IFERROR(INDEX(ShiftKnowledge!$H$2:$H$9,MATCH($B361&amp;"|"&amp;$D361,ShiftKnowledge!$A$2:$A$9,0)),"")))</f>
        <v/>
      </c>
      <c r="L361" s="4">
        <f>IF($D361="Custom","",IFERROR(XLOOKUP($B361&amp;"|"&amp;$D361,ShiftKnowledge!$A$2:$A$9,ShiftKnowledge!$I$2:$I$9,""),IFERROR(INDEX(ShiftKnowledge!$I$2:$I$9,MATCH($B361&amp;"|"&amp;$D361,ShiftKnowledge!$A$2:$A$9,0)),"")))</f>
        <v/>
      </c>
      <c r="M361" s="4" t="inlineStr"/>
    </row>
    <row r="362" ht="20" customHeight="1">
      <c r="A362" s="6" t="inlineStr">
        <is>
          <t>17/11/2025</t>
        </is>
      </c>
      <c r="B362" s="6" t="inlineStr">
        <is>
          <t>Gynaecology</t>
        </is>
      </c>
      <c r="C362" s="7" t="inlineStr">
        <is>
          <t>Dr. Aminath Juhaina</t>
        </is>
      </c>
      <c r="D362" s="6" t="inlineStr"/>
      <c r="E362" s="6">
        <f>IF($D362="Custom","",IFERROR(XLOOKUP($B362&amp;"|"&amp;$D362,ShiftKnowledge!$A$2:$A$9,ShiftKnowledge!$D$2:$D$9,""),IFERROR(INDEX(ShiftKnowledge!$D$2:$D$9,MATCH($B362&amp;"|"&amp;$D362,ShiftKnowledge!$A$2:$A$9,0)),"")))</f>
        <v/>
      </c>
      <c r="F362" s="6" t="inlineStr"/>
      <c r="G362" s="6">
        <f>IF(AND($I362="",$L362=""),"",IFERROR(VALUE($I362),0)+IFERROR(VALUE($L362),0))</f>
        <v/>
      </c>
      <c r="H362" s="6">
        <f>IF($D362="Custom","",IFERROR(XLOOKUP($B362&amp;"|"&amp;$D362,ShiftKnowledge!$A$2:$A$9,ShiftKnowledge!$E$2:$E$9,""),IFERROR(INDEX(ShiftKnowledge!$E$2:$E$9,MATCH($B362&amp;"|"&amp;$D362,ShiftKnowledge!$A$2:$A$9,0)),"")))</f>
        <v/>
      </c>
      <c r="I362" s="6">
        <f>IF($D362="Custom","",IFERROR(XLOOKUP($B362&amp;"|"&amp;$D362,ShiftKnowledge!$A$2:$A$9,ShiftKnowledge!$F$2:$F$9,""),IFERROR(INDEX(ShiftKnowledge!$F$2:$F$9,MATCH($B362&amp;"|"&amp;$D362,ShiftKnowledge!$A$2:$A$9,0)),"")))</f>
        <v/>
      </c>
      <c r="J362" s="6">
        <f>IF($D362="Custom","",IFERROR(XLOOKUP($B362&amp;"|"&amp;$D362,ShiftKnowledge!$A$2:$A$9,ShiftKnowledge!$G$2:$G$9,""),IFERROR(INDEX(ShiftKnowledge!$G$2:$G$9,MATCH($B362&amp;"|"&amp;$D362,ShiftKnowledge!$A$2:$A$9,0)),"")))</f>
        <v/>
      </c>
      <c r="K362" s="6">
        <f>IF($D362="Custom","",IFERROR(XLOOKUP($B362&amp;"|"&amp;$D362,ShiftKnowledge!$A$2:$A$9,ShiftKnowledge!$H$2:$H$9,""),IFERROR(INDEX(ShiftKnowledge!$H$2:$H$9,MATCH($B362&amp;"|"&amp;$D362,ShiftKnowledge!$A$2:$A$9,0)),"")))</f>
        <v/>
      </c>
      <c r="L362" s="6">
        <f>IF($D362="Custom","",IFERROR(XLOOKUP($B362&amp;"|"&amp;$D362,ShiftKnowledge!$A$2:$A$9,ShiftKnowledge!$I$2:$I$9,""),IFERROR(INDEX(ShiftKnowledge!$I$2:$I$9,MATCH($B362&amp;"|"&amp;$D362,ShiftKnowledge!$A$2:$A$9,0)),"")))</f>
        <v/>
      </c>
      <c r="M362" s="6" t="inlineStr"/>
    </row>
    <row r="363" ht="20" customHeight="1">
      <c r="A363" s="4" t="inlineStr">
        <is>
          <t>17/11/2025</t>
        </is>
      </c>
      <c r="B363" s="4" t="inlineStr">
        <is>
          <t>Dental</t>
        </is>
      </c>
      <c r="C363" s="5" t="inlineStr">
        <is>
          <t>Dr. Aminath Khazna Musthafa</t>
        </is>
      </c>
      <c r="D363" s="4" t="inlineStr"/>
      <c r="E363" s="4">
        <f>IF($D363="Custom","",IFERROR(XLOOKUP($B363&amp;"|"&amp;$D363,ShiftKnowledge!$A$2:$A$9,ShiftKnowledge!$D$2:$D$9,""),IFERROR(INDEX(ShiftKnowledge!$D$2:$D$9,MATCH($B363&amp;"|"&amp;$D363,ShiftKnowledge!$A$2:$A$9,0)),"")))</f>
        <v/>
      </c>
      <c r="F363" s="4" t="inlineStr"/>
      <c r="G363" s="4">
        <f>IF(AND($I363="",$L363=""),"",IFERROR(VALUE($I363),0)+IFERROR(VALUE($L363),0))</f>
        <v/>
      </c>
      <c r="H363" s="4">
        <f>IF($D363="Custom","",IFERROR(XLOOKUP($B363&amp;"|"&amp;$D363,ShiftKnowledge!$A$2:$A$9,ShiftKnowledge!$E$2:$E$9,""),IFERROR(INDEX(ShiftKnowledge!$E$2:$E$9,MATCH($B363&amp;"|"&amp;$D363,ShiftKnowledge!$A$2:$A$9,0)),"")))</f>
        <v/>
      </c>
      <c r="I363" s="4">
        <f>IF($D363="Custom","",IFERROR(XLOOKUP($B363&amp;"|"&amp;$D363,ShiftKnowledge!$A$2:$A$9,ShiftKnowledge!$F$2:$F$9,""),IFERROR(INDEX(ShiftKnowledge!$F$2:$F$9,MATCH($B363&amp;"|"&amp;$D363,ShiftKnowledge!$A$2:$A$9,0)),"")))</f>
        <v/>
      </c>
      <c r="J363" s="4">
        <f>IF($D363="Custom","",IFERROR(XLOOKUP($B363&amp;"|"&amp;$D363,ShiftKnowledge!$A$2:$A$9,ShiftKnowledge!$G$2:$G$9,""),IFERROR(INDEX(ShiftKnowledge!$G$2:$G$9,MATCH($B363&amp;"|"&amp;$D363,ShiftKnowledge!$A$2:$A$9,0)),"")))</f>
        <v/>
      </c>
      <c r="K363" s="4">
        <f>IF($D363="Custom","",IFERROR(XLOOKUP($B363&amp;"|"&amp;$D363,ShiftKnowledge!$A$2:$A$9,ShiftKnowledge!$H$2:$H$9,""),IFERROR(INDEX(ShiftKnowledge!$H$2:$H$9,MATCH($B363&amp;"|"&amp;$D363,ShiftKnowledge!$A$2:$A$9,0)),"")))</f>
        <v/>
      </c>
      <c r="L363" s="4">
        <f>IF($D363="Custom","",IFERROR(XLOOKUP($B363&amp;"|"&amp;$D363,ShiftKnowledge!$A$2:$A$9,ShiftKnowledge!$I$2:$I$9,""),IFERROR(INDEX(ShiftKnowledge!$I$2:$I$9,MATCH($B363&amp;"|"&amp;$D363,ShiftKnowledge!$A$2:$A$9,0)),"")))</f>
        <v/>
      </c>
      <c r="M363" s="4" t="inlineStr"/>
    </row>
    <row r="364" ht="20" customHeight="1">
      <c r="A364" s="6" t="inlineStr">
        <is>
          <t>17/11/2025</t>
        </is>
      </c>
      <c r="B364" s="6" t="inlineStr">
        <is>
          <t>Internal Medicine</t>
        </is>
      </c>
      <c r="C364" s="7" t="inlineStr">
        <is>
          <t>Dr. Aminath Munaza</t>
        </is>
      </c>
      <c r="D364" s="6" t="inlineStr"/>
      <c r="E364" s="6">
        <f>IF($D364="Custom","",IFERROR(XLOOKUP($B364&amp;"|"&amp;$D364,ShiftKnowledge!$A$2:$A$9,ShiftKnowledge!$D$2:$D$9,""),IFERROR(INDEX(ShiftKnowledge!$D$2:$D$9,MATCH($B364&amp;"|"&amp;$D364,ShiftKnowledge!$A$2:$A$9,0)),"")))</f>
        <v/>
      </c>
      <c r="F364" s="6" t="inlineStr"/>
      <c r="G364" s="6">
        <f>IF(AND($I364="",$L364=""),"",IFERROR(VALUE($I364),0)+IFERROR(VALUE($L364),0))</f>
        <v/>
      </c>
      <c r="H364" s="6">
        <f>IF($D364="Custom","",IFERROR(XLOOKUP($B364&amp;"|"&amp;$D364,ShiftKnowledge!$A$2:$A$9,ShiftKnowledge!$E$2:$E$9,""),IFERROR(INDEX(ShiftKnowledge!$E$2:$E$9,MATCH($B364&amp;"|"&amp;$D364,ShiftKnowledge!$A$2:$A$9,0)),"")))</f>
        <v/>
      </c>
      <c r="I364" s="6">
        <f>IF($D364="Custom","",IFERROR(XLOOKUP($B364&amp;"|"&amp;$D364,ShiftKnowledge!$A$2:$A$9,ShiftKnowledge!$F$2:$F$9,""),IFERROR(INDEX(ShiftKnowledge!$F$2:$F$9,MATCH($B364&amp;"|"&amp;$D364,ShiftKnowledge!$A$2:$A$9,0)),"")))</f>
        <v/>
      </c>
      <c r="J364" s="6">
        <f>IF($D364="Custom","",IFERROR(XLOOKUP($B364&amp;"|"&amp;$D364,ShiftKnowledge!$A$2:$A$9,ShiftKnowledge!$G$2:$G$9,""),IFERROR(INDEX(ShiftKnowledge!$G$2:$G$9,MATCH($B364&amp;"|"&amp;$D364,ShiftKnowledge!$A$2:$A$9,0)),"")))</f>
        <v/>
      </c>
      <c r="K364" s="6">
        <f>IF($D364="Custom","",IFERROR(XLOOKUP($B364&amp;"|"&amp;$D364,ShiftKnowledge!$A$2:$A$9,ShiftKnowledge!$H$2:$H$9,""),IFERROR(INDEX(ShiftKnowledge!$H$2:$H$9,MATCH($B364&amp;"|"&amp;$D364,ShiftKnowledge!$A$2:$A$9,0)),"")))</f>
        <v/>
      </c>
      <c r="L364" s="6">
        <f>IF($D364="Custom","",IFERROR(XLOOKUP($B364&amp;"|"&amp;$D364,ShiftKnowledge!$A$2:$A$9,ShiftKnowledge!$I$2:$I$9,""),IFERROR(INDEX(ShiftKnowledge!$I$2:$I$9,MATCH($B364&amp;"|"&amp;$D364,ShiftKnowledge!$A$2:$A$9,0)),"")))</f>
        <v/>
      </c>
      <c r="M364" s="6" t="inlineStr"/>
    </row>
    <row r="365" ht="20" customHeight="1">
      <c r="A365" s="4" t="inlineStr">
        <is>
          <t>17/11/2025</t>
        </is>
      </c>
      <c r="B365" s="4" t="inlineStr">
        <is>
          <t>Psychiatry</t>
        </is>
      </c>
      <c r="C365" s="5" t="inlineStr">
        <is>
          <t>Dr. Anas Mohamed Anwar Ahmed Ali</t>
        </is>
      </c>
      <c r="D365" s="4" t="inlineStr"/>
      <c r="E365" s="4">
        <f>IF($D365="Custom","",IFERROR(XLOOKUP($B365&amp;"|"&amp;$D365,ShiftKnowledge!$A$2:$A$9,ShiftKnowledge!$D$2:$D$9,""),IFERROR(INDEX(ShiftKnowledge!$D$2:$D$9,MATCH($B365&amp;"|"&amp;$D365,ShiftKnowledge!$A$2:$A$9,0)),"")))</f>
        <v/>
      </c>
      <c r="F365" s="4" t="inlineStr"/>
      <c r="G365" s="4">
        <f>IF(AND($I365="",$L365=""),"",IFERROR(VALUE($I365),0)+IFERROR(VALUE($L365),0))</f>
        <v/>
      </c>
      <c r="H365" s="4">
        <f>IF($D365="Custom","",IFERROR(XLOOKUP($B365&amp;"|"&amp;$D365,ShiftKnowledge!$A$2:$A$9,ShiftKnowledge!$E$2:$E$9,""),IFERROR(INDEX(ShiftKnowledge!$E$2:$E$9,MATCH($B365&amp;"|"&amp;$D365,ShiftKnowledge!$A$2:$A$9,0)),"")))</f>
        <v/>
      </c>
      <c r="I365" s="4">
        <f>IF($D365="Custom","",IFERROR(XLOOKUP($B365&amp;"|"&amp;$D365,ShiftKnowledge!$A$2:$A$9,ShiftKnowledge!$F$2:$F$9,""),IFERROR(INDEX(ShiftKnowledge!$F$2:$F$9,MATCH($B365&amp;"|"&amp;$D365,ShiftKnowledge!$A$2:$A$9,0)),"")))</f>
        <v/>
      </c>
      <c r="J365" s="4">
        <f>IF($D365="Custom","",IFERROR(XLOOKUP($B365&amp;"|"&amp;$D365,ShiftKnowledge!$A$2:$A$9,ShiftKnowledge!$G$2:$G$9,""),IFERROR(INDEX(ShiftKnowledge!$G$2:$G$9,MATCH($B365&amp;"|"&amp;$D365,ShiftKnowledge!$A$2:$A$9,0)),"")))</f>
        <v/>
      </c>
      <c r="K365" s="4">
        <f>IF($D365="Custom","",IFERROR(XLOOKUP($B365&amp;"|"&amp;$D365,ShiftKnowledge!$A$2:$A$9,ShiftKnowledge!$H$2:$H$9,""),IFERROR(INDEX(ShiftKnowledge!$H$2:$H$9,MATCH($B365&amp;"|"&amp;$D365,ShiftKnowledge!$A$2:$A$9,0)),"")))</f>
        <v/>
      </c>
      <c r="L365" s="4">
        <f>IF($D365="Custom","",IFERROR(XLOOKUP($B365&amp;"|"&amp;$D365,ShiftKnowledge!$A$2:$A$9,ShiftKnowledge!$I$2:$I$9,""),IFERROR(INDEX(ShiftKnowledge!$I$2:$I$9,MATCH($B365&amp;"|"&amp;$D365,ShiftKnowledge!$A$2:$A$9,0)),"")))</f>
        <v/>
      </c>
      <c r="M365" s="4" t="inlineStr"/>
    </row>
    <row r="366" ht="20" customHeight="1">
      <c r="A366" s="6" t="inlineStr">
        <is>
          <t>17/11/2025</t>
        </is>
      </c>
      <c r="B366" s="6" t="inlineStr">
        <is>
          <t>Oral Maxillo facial surgery (OMS)</t>
        </is>
      </c>
      <c r="C366" s="7" t="inlineStr">
        <is>
          <t>Dr. Arpita Singh</t>
        </is>
      </c>
      <c r="D366" s="6" t="inlineStr"/>
      <c r="E366" s="6">
        <f>IF($D366="Custom","",IFERROR(XLOOKUP($B366&amp;"|"&amp;$D366,ShiftKnowledge!$A$2:$A$9,ShiftKnowledge!$D$2:$D$9,""),IFERROR(INDEX(ShiftKnowledge!$D$2:$D$9,MATCH($B366&amp;"|"&amp;$D366,ShiftKnowledge!$A$2:$A$9,0)),"")))</f>
        <v/>
      </c>
      <c r="F366" s="6" t="inlineStr"/>
      <c r="G366" s="6">
        <f>IF(AND($I366="",$L366=""),"",IFERROR(VALUE($I366),0)+IFERROR(VALUE($L366),0))</f>
        <v/>
      </c>
      <c r="H366" s="6">
        <f>IF($D366="Custom","",IFERROR(XLOOKUP($B366&amp;"|"&amp;$D366,ShiftKnowledge!$A$2:$A$9,ShiftKnowledge!$E$2:$E$9,""),IFERROR(INDEX(ShiftKnowledge!$E$2:$E$9,MATCH($B366&amp;"|"&amp;$D366,ShiftKnowledge!$A$2:$A$9,0)),"")))</f>
        <v/>
      </c>
      <c r="I366" s="6">
        <f>IF($D366="Custom","",IFERROR(XLOOKUP($B366&amp;"|"&amp;$D366,ShiftKnowledge!$A$2:$A$9,ShiftKnowledge!$F$2:$F$9,""),IFERROR(INDEX(ShiftKnowledge!$F$2:$F$9,MATCH($B366&amp;"|"&amp;$D366,ShiftKnowledge!$A$2:$A$9,0)),"")))</f>
        <v/>
      </c>
      <c r="J366" s="6">
        <f>IF($D366="Custom","",IFERROR(XLOOKUP($B366&amp;"|"&amp;$D366,ShiftKnowledge!$A$2:$A$9,ShiftKnowledge!$G$2:$G$9,""),IFERROR(INDEX(ShiftKnowledge!$G$2:$G$9,MATCH($B366&amp;"|"&amp;$D366,ShiftKnowledge!$A$2:$A$9,0)),"")))</f>
        <v/>
      </c>
      <c r="K366" s="6">
        <f>IF($D366="Custom","",IFERROR(XLOOKUP($B366&amp;"|"&amp;$D366,ShiftKnowledge!$A$2:$A$9,ShiftKnowledge!$H$2:$H$9,""),IFERROR(INDEX(ShiftKnowledge!$H$2:$H$9,MATCH($B366&amp;"|"&amp;$D366,ShiftKnowledge!$A$2:$A$9,0)),"")))</f>
        <v/>
      </c>
      <c r="L366" s="6">
        <f>IF($D366="Custom","",IFERROR(XLOOKUP($B366&amp;"|"&amp;$D366,ShiftKnowledge!$A$2:$A$9,ShiftKnowledge!$I$2:$I$9,""),IFERROR(INDEX(ShiftKnowledge!$I$2:$I$9,MATCH($B366&amp;"|"&amp;$D366,ShiftKnowledge!$A$2:$A$9,0)),"")))</f>
        <v/>
      </c>
      <c r="M366" s="6" t="inlineStr"/>
    </row>
    <row r="367" ht="20" customHeight="1">
      <c r="A367" s="4" t="inlineStr">
        <is>
          <t>17/11/2025</t>
        </is>
      </c>
      <c r="B367" s="4" t="inlineStr">
        <is>
          <t>Orthopaedics</t>
        </is>
      </c>
      <c r="C367" s="5" t="inlineStr">
        <is>
          <t>Dr. Asish Rajak</t>
        </is>
      </c>
      <c r="D367" s="4" t="inlineStr"/>
      <c r="E367" s="4">
        <f>IF($D367="Custom","",IFERROR(XLOOKUP($B367&amp;"|"&amp;$D367,ShiftKnowledge!$A$2:$A$9,ShiftKnowledge!$D$2:$D$9,""),IFERROR(INDEX(ShiftKnowledge!$D$2:$D$9,MATCH($B367&amp;"|"&amp;$D367,ShiftKnowledge!$A$2:$A$9,0)),"")))</f>
        <v/>
      </c>
      <c r="F367" s="4" t="inlineStr"/>
      <c r="G367" s="4">
        <f>IF(AND($I367="",$L367=""),"",IFERROR(VALUE($I367),0)+IFERROR(VALUE($L367),0))</f>
        <v/>
      </c>
      <c r="H367" s="4">
        <f>IF($D367="Custom","",IFERROR(XLOOKUP($B367&amp;"|"&amp;$D367,ShiftKnowledge!$A$2:$A$9,ShiftKnowledge!$E$2:$E$9,""),IFERROR(INDEX(ShiftKnowledge!$E$2:$E$9,MATCH($B367&amp;"|"&amp;$D367,ShiftKnowledge!$A$2:$A$9,0)),"")))</f>
        <v/>
      </c>
      <c r="I367" s="4">
        <f>IF($D367="Custom","",IFERROR(XLOOKUP($B367&amp;"|"&amp;$D367,ShiftKnowledge!$A$2:$A$9,ShiftKnowledge!$F$2:$F$9,""),IFERROR(INDEX(ShiftKnowledge!$F$2:$F$9,MATCH($B367&amp;"|"&amp;$D367,ShiftKnowledge!$A$2:$A$9,0)),"")))</f>
        <v/>
      </c>
      <c r="J367" s="4">
        <f>IF($D367="Custom","",IFERROR(XLOOKUP($B367&amp;"|"&amp;$D367,ShiftKnowledge!$A$2:$A$9,ShiftKnowledge!$G$2:$G$9,""),IFERROR(INDEX(ShiftKnowledge!$G$2:$G$9,MATCH($B367&amp;"|"&amp;$D367,ShiftKnowledge!$A$2:$A$9,0)),"")))</f>
        <v/>
      </c>
      <c r="K367" s="4">
        <f>IF($D367="Custom","",IFERROR(XLOOKUP($B367&amp;"|"&amp;$D367,ShiftKnowledge!$A$2:$A$9,ShiftKnowledge!$H$2:$H$9,""),IFERROR(INDEX(ShiftKnowledge!$H$2:$H$9,MATCH($B367&amp;"|"&amp;$D367,ShiftKnowledge!$A$2:$A$9,0)),"")))</f>
        <v/>
      </c>
      <c r="L367" s="4">
        <f>IF($D367="Custom","",IFERROR(XLOOKUP($B367&amp;"|"&amp;$D367,ShiftKnowledge!$A$2:$A$9,ShiftKnowledge!$I$2:$I$9,""),IFERROR(INDEX(ShiftKnowledge!$I$2:$I$9,MATCH($B367&amp;"|"&amp;$D367,ShiftKnowledge!$A$2:$A$9,0)),"")))</f>
        <v/>
      </c>
      <c r="M367" s="4" t="inlineStr"/>
    </row>
    <row r="368" ht="20" customHeight="1">
      <c r="A368" s="6" t="inlineStr">
        <is>
          <t>17/11/2025</t>
        </is>
      </c>
      <c r="B368" s="6" t="inlineStr">
        <is>
          <t>Dermatology</t>
        </is>
      </c>
      <c r="C368" s="7" t="inlineStr">
        <is>
          <t>Dr. Aya Gamal Kotb Mohamed Elagamy</t>
        </is>
      </c>
      <c r="D368" s="6" t="inlineStr"/>
      <c r="E368" s="6">
        <f>IF($D368="Custom","",IFERROR(XLOOKUP($B368&amp;"|"&amp;$D368,ShiftKnowledge!$A$2:$A$9,ShiftKnowledge!$D$2:$D$9,""),IFERROR(INDEX(ShiftKnowledge!$D$2:$D$9,MATCH($B368&amp;"|"&amp;$D368,ShiftKnowledge!$A$2:$A$9,0)),"")))</f>
        <v/>
      </c>
      <c r="F368" s="6" t="inlineStr"/>
      <c r="G368" s="6">
        <f>IF(AND($I368="",$L368=""),"",IFERROR(VALUE($I368),0)+IFERROR(VALUE($L368),0))</f>
        <v/>
      </c>
      <c r="H368" s="6">
        <f>IF($D368="Custom","",IFERROR(XLOOKUP($B368&amp;"|"&amp;$D368,ShiftKnowledge!$A$2:$A$9,ShiftKnowledge!$E$2:$E$9,""),IFERROR(INDEX(ShiftKnowledge!$E$2:$E$9,MATCH($B368&amp;"|"&amp;$D368,ShiftKnowledge!$A$2:$A$9,0)),"")))</f>
        <v/>
      </c>
      <c r="I368" s="6">
        <f>IF($D368="Custom","",IFERROR(XLOOKUP($B368&amp;"|"&amp;$D368,ShiftKnowledge!$A$2:$A$9,ShiftKnowledge!$F$2:$F$9,""),IFERROR(INDEX(ShiftKnowledge!$F$2:$F$9,MATCH($B368&amp;"|"&amp;$D368,ShiftKnowledge!$A$2:$A$9,0)),"")))</f>
        <v/>
      </c>
      <c r="J368" s="6">
        <f>IF($D368="Custom","",IFERROR(XLOOKUP($B368&amp;"|"&amp;$D368,ShiftKnowledge!$A$2:$A$9,ShiftKnowledge!$G$2:$G$9,""),IFERROR(INDEX(ShiftKnowledge!$G$2:$G$9,MATCH($B368&amp;"|"&amp;$D368,ShiftKnowledge!$A$2:$A$9,0)),"")))</f>
        <v/>
      </c>
      <c r="K368" s="6">
        <f>IF($D368="Custom","",IFERROR(XLOOKUP($B368&amp;"|"&amp;$D368,ShiftKnowledge!$A$2:$A$9,ShiftKnowledge!$H$2:$H$9,""),IFERROR(INDEX(ShiftKnowledge!$H$2:$H$9,MATCH($B368&amp;"|"&amp;$D368,ShiftKnowledge!$A$2:$A$9,0)),"")))</f>
        <v/>
      </c>
      <c r="L368" s="6">
        <f>IF($D368="Custom","",IFERROR(XLOOKUP($B368&amp;"|"&amp;$D368,ShiftKnowledge!$A$2:$A$9,ShiftKnowledge!$I$2:$I$9,""),IFERROR(INDEX(ShiftKnowledge!$I$2:$I$9,MATCH($B368&amp;"|"&amp;$D368,ShiftKnowledge!$A$2:$A$9,0)),"")))</f>
        <v/>
      </c>
      <c r="M368" s="6" t="inlineStr"/>
    </row>
    <row r="369" ht="20" customHeight="1">
      <c r="A369" s="4" t="inlineStr">
        <is>
          <t>17/11/2025</t>
        </is>
      </c>
      <c r="B369" s="4" t="inlineStr">
        <is>
          <t>Dental</t>
        </is>
      </c>
      <c r="C369" s="5" t="inlineStr">
        <is>
          <t>Dr. Benjamin Premkumar</t>
        </is>
      </c>
      <c r="D369" s="4" t="inlineStr"/>
      <c r="E369" s="4">
        <f>IF($D369="Custom","",IFERROR(XLOOKUP($B369&amp;"|"&amp;$D369,ShiftKnowledge!$A$2:$A$9,ShiftKnowledge!$D$2:$D$9,""),IFERROR(INDEX(ShiftKnowledge!$D$2:$D$9,MATCH($B369&amp;"|"&amp;$D369,ShiftKnowledge!$A$2:$A$9,0)),"")))</f>
        <v/>
      </c>
      <c r="F369" s="4" t="inlineStr"/>
      <c r="G369" s="4">
        <f>IF(AND($I369="",$L369=""),"",IFERROR(VALUE($I369),0)+IFERROR(VALUE($L369),0))</f>
        <v/>
      </c>
      <c r="H369" s="4">
        <f>IF($D369="Custom","",IFERROR(XLOOKUP($B369&amp;"|"&amp;$D369,ShiftKnowledge!$A$2:$A$9,ShiftKnowledge!$E$2:$E$9,""),IFERROR(INDEX(ShiftKnowledge!$E$2:$E$9,MATCH($B369&amp;"|"&amp;$D369,ShiftKnowledge!$A$2:$A$9,0)),"")))</f>
        <v/>
      </c>
      <c r="I369" s="4">
        <f>IF($D369="Custom","",IFERROR(XLOOKUP($B369&amp;"|"&amp;$D369,ShiftKnowledge!$A$2:$A$9,ShiftKnowledge!$F$2:$F$9,""),IFERROR(INDEX(ShiftKnowledge!$F$2:$F$9,MATCH($B369&amp;"|"&amp;$D369,ShiftKnowledge!$A$2:$A$9,0)),"")))</f>
        <v/>
      </c>
      <c r="J369" s="4">
        <f>IF($D369="Custom","",IFERROR(XLOOKUP($B369&amp;"|"&amp;$D369,ShiftKnowledge!$A$2:$A$9,ShiftKnowledge!$G$2:$G$9,""),IFERROR(INDEX(ShiftKnowledge!$G$2:$G$9,MATCH($B369&amp;"|"&amp;$D369,ShiftKnowledge!$A$2:$A$9,0)),"")))</f>
        <v/>
      </c>
      <c r="K369" s="4">
        <f>IF($D369="Custom","",IFERROR(XLOOKUP($B369&amp;"|"&amp;$D369,ShiftKnowledge!$A$2:$A$9,ShiftKnowledge!$H$2:$H$9,""),IFERROR(INDEX(ShiftKnowledge!$H$2:$H$9,MATCH($B369&amp;"|"&amp;$D369,ShiftKnowledge!$A$2:$A$9,0)),"")))</f>
        <v/>
      </c>
      <c r="L369" s="4">
        <f>IF($D369="Custom","",IFERROR(XLOOKUP($B369&amp;"|"&amp;$D369,ShiftKnowledge!$A$2:$A$9,ShiftKnowledge!$I$2:$I$9,""),IFERROR(INDEX(ShiftKnowledge!$I$2:$I$9,MATCH($B369&amp;"|"&amp;$D369,ShiftKnowledge!$A$2:$A$9,0)),"")))</f>
        <v/>
      </c>
      <c r="M369" s="4" t="inlineStr"/>
    </row>
    <row r="370" ht="20" customHeight="1">
      <c r="A370" s="6" t="inlineStr">
        <is>
          <t>17/11/2025</t>
        </is>
      </c>
      <c r="B370" s="6" t="inlineStr">
        <is>
          <t>Internal Medicine</t>
        </is>
      </c>
      <c r="C370" s="7" t="inlineStr">
        <is>
          <t>Dr. Cho Thway Mon</t>
        </is>
      </c>
      <c r="D370" s="6" t="inlineStr"/>
      <c r="E370" s="6">
        <f>IF($D370="Custom","",IFERROR(XLOOKUP($B370&amp;"|"&amp;$D370,ShiftKnowledge!$A$2:$A$9,ShiftKnowledge!$D$2:$D$9,""),IFERROR(INDEX(ShiftKnowledge!$D$2:$D$9,MATCH($B370&amp;"|"&amp;$D370,ShiftKnowledge!$A$2:$A$9,0)),"")))</f>
        <v/>
      </c>
      <c r="F370" s="6" t="inlineStr"/>
      <c r="G370" s="6">
        <f>IF(AND($I370="",$L370=""),"",IFERROR(VALUE($I370),0)+IFERROR(VALUE($L370),0))</f>
        <v/>
      </c>
      <c r="H370" s="6">
        <f>IF($D370="Custom","",IFERROR(XLOOKUP($B370&amp;"|"&amp;$D370,ShiftKnowledge!$A$2:$A$9,ShiftKnowledge!$E$2:$E$9,""),IFERROR(INDEX(ShiftKnowledge!$E$2:$E$9,MATCH($B370&amp;"|"&amp;$D370,ShiftKnowledge!$A$2:$A$9,0)),"")))</f>
        <v/>
      </c>
      <c r="I370" s="6">
        <f>IF($D370="Custom","",IFERROR(XLOOKUP($B370&amp;"|"&amp;$D370,ShiftKnowledge!$A$2:$A$9,ShiftKnowledge!$F$2:$F$9,""),IFERROR(INDEX(ShiftKnowledge!$F$2:$F$9,MATCH($B370&amp;"|"&amp;$D370,ShiftKnowledge!$A$2:$A$9,0)),"")))</f>
        <v/>
      </c>
      <c r="J370" s="6">
        <f>IF($D370="Custom","",IFERROR(XLOOKUP($B370&amp;"|"&amp;$D370,ShiftKnowledge!$A$2:$A$9,ShiftKnowledge!$G$2:$G$9,""),IFERROR(INDEX(ShiftKnowledge!$G$2:$G$9,MATCH($B370&amp;"|"&amp;$D370,ShiftKnowledge!$A$2:$A$9,0)),"")))</f>
        <v/>
      </c>
      <c r="K370" s="6">
        <f>IF($D370="Custom","",IFERROR(XLOOKUP($B370&amp;"|"&amp;$D370,ShiftKnowledge!$A$2:$A$9,ShiftKnowledge!$H$2:$H$9,""),IFERROR(INDEX(ShiftKnowledge!$H$2:$H$9,MATCH($B370&amp;"|"&amp;$D370,ShiftKnowledge!$A$2:$A$9,0)),"")))</f>
        <v/>
      </c>
      <c r="L370" s="6">
        <f>IF($D370="Custom","",IFERROR(XLOOKUP($B370&amp;"|"&amp;$D370,ShiftKnowledge!$A$2:$A$9,ShiftKnowledge!$I$2:$I$9,""),IFERROR(INDEX(ShiftKnowledge!$I$2:$I$9,MATCH($B370&amp;"|"&amp;$D370,ShiftKnowledge!$A$2:$A$9,0)),"")))</f>
        <v/>
      </c>
      <c r="M370" s="6" t="inlineStr"/>
    </row>
    <row r="371" ht="20" customHeight="1">
      <c r="A371" s="4" t="inlineStr">
        <is>
          <t>17/11/2025</t>
        </is>
      </c>
      <c r="B371" s="4" t="inlineStr">
        <is>
          <t>Orthopaedics</t>
        </is>
      </c>
      <c r="C371" s="5" t="inlineStr">
        <is>
          <t>Dr. Dinesh Kumar Pandit</t>
        </is>
      </c>
      <c r="D371" s="4" t="inlineStr"/>
      <c r="E371" s="4">
        <f>IF($D371="Custom","",IFERROR(XLOOKUP($B371&amp;"|"&amp;$D371,ShiftKnowledge!$A$2:$A$9,ShiftKnowledge!$D$2:$D$9,""),IFERROR(INDEX(ShiftKnowledge!$D$2:$D$9,MATCH($B371&amp;"|"&amp;$D371,ShiftKnowledge!$A$2:$A$9,0)),"")))</f>
        <v/>
      </c>
      <c r="F371" s="4" t="inlineStr"/>
      <c r="G371" s="4">
        <f>IF(AND($I371="",$L371=""),"",IFERROR(VALUE($I371),0)+IFERROR(VALUE($L371),0))</f>
        <v/>
      </c>
      <c r="H371" s="4">
        <f>IF($D371="Custom","",IFERROR(XLOOKUP($B371&amp;"|"&amp;$D371,ShiftKnowledge!$A$2:$A$9,ShiftKnowledge!$E$2:$E$9,""),IFERROR(INDEX(ShiftKnowledge!$E$2:$E$9,MATCH($B371&amp;"|"&amp;$D371,ShiftKnowledge!$A$2:$A$9,0)),"")))</f>
        <v/>
      </c>
      <c r="I371" s="4">
        <f>IF($D371="Custom","",IFERROR(XLOOKUP($B371&amp;"|"&amp;$D371,ShiftKnowledge!$A$2:$A$9,ShiftKnowledge!$F$2:$F$9,""),IFERROR(INDEX(ShiftKnowledge!$F$2:$F$9,MATCH($B371&amp;"|"&amp;$D371,ShiftKnowledge!$A$2:$A$9,0)),"")))</f>
        <v/>
      </c>
      <c r="J371" s="4">
        <f>IF($D371="Custom","",IFERROR(XLOOKUP($B371&amp;"|"&amp;$D371,ShiftKnowledge!$A$2:$A$9,ShiftKnowledge!$G$2:$G$9,""),IFERROR(INDEX(ShiftKnowledge!$G$2:$G$9,MATCH($B371&amp;"|"&amp;$D371,ShiftKnowledge!$A$2:$A$9,0)),"")))</f>
        <v/>
      </c>
      <c r="K371" s="4">
        <f>IF($D371="Custom","",IFERROR(XLOOKUP($B371&amp;"|"&amp;$D371,ShiftKnowledge!$A$2:$A$9,ShiftKnowledge!$H$2:$H$9,""),IFERROR(INDEX(ShiftKnowledge!$H$2:$H$9,MATCH($B371&amp;"|"&amp;$D371,ShiftKnowledge!$A$2:$A$9,0)),"")))</f>
        <v/>
      </c>
      <c r="L371" s="4">
        <f>IF($D371="Custom","",IFERROR(XLOOKUP($B371&amp;"|"&amp;$D371,ShiftKnowledge!$A$2:$A$9,ShiftKnowledge!$I$2:$I$9,""),IFERROR(INDEX(ShiftKnowledge!$I$2:$I$9,MATCH($B371&amp;"|"&amp;$D371,ShiftKnowledge!$A$2:$A$9,0)),"")))</f>
        <v/>
      </c>
      <c r="M371" s="4" t="inlineStr"/>
    </row>
    <row r="372" ht="20" customHeight="1">
      <c r="A372" s="6" t="inlineStr">
        <is>
          <t>17/11/2025</t>
        </is>
      </c>
      <c r="B372" s="6" t="inlineStr">
        <is>
          <t>Internal Medicine</t>
        </is>
      </c>
      <c r="C372" s="7" t="inlineStr">
        <is>
          <t>Dr. Ei Shwe Yee Myint</t>
        </is>
      </c>
      <c r="D372" s="6" t="inlineStr"/>
      <c r="E372" s="6">
        <f>IF($D372="Custom","",IFERROR(XLOOKUP($B372&amp;"|"&amp;$D372,ShiftKnowledge!$A$2:$A$9,ShiftKnowledge!$D$2:$D$9,""),IFERROR(INDEX(ShiftKnowledge!$D$2:$D$9,MATCH($B372&amp;"|"&amp;$D372,ShiftKnowledge!$A$2:$A$9,0)),"")))</f>
        <v/>
      </c>
      <c r="F372" s="6" t="inlineStr"/>
      <c r="G372" s="6">
        <f>IF(AND($I372="",$L372=""),"",IFERROR(VALUE($I372),0)+IFERROR(VALUE($L372),0))</f>
        <v/>
      </c>
      <c r="H372" s="6">
        <f>IF($D372="Custom","",IFERROR(XLOOKUP($B372&amp;"|"&amp;$D372,ShiftKnowledge!$A$2:$A$9,ShiftKnowledge!$E$2:$E$9,""),IFERROR(INDEX(ShiftKnowledge!$E$2:$E$9,MATCH($B372&amp;"|"&amp;$D372,ShiftKnowledge!$A$2:$A$9,0)),"")))</f>
        <v/>
      </c>
      <c r="I372" s="6">
        <f>IF($D372="Custom","",IFERROR(XLOOKUP($B372&amp;"|"&amp;$D372,ShiftKnowledge!$A$2:$A$9,ShiftKnowledge!$F$2:$F$9,""),IFERROR(INDEX(ShiftKnowledge!$F$2:$F$9,MATCH($B372&amp;"|"&amp;$D372,ShiftKnowledge!$A$2:$A$9,0)),"")))</f>
        <v/>
      </c>
      <c r="J372" s="6">
        <f>IF($D372="Custom","",IFERROR(XLOOKUP($B372&amp;"|"&amp;$D372,ShiftKnowledge!$A$2:$A$9,ShiftKnowledge!$G$2:$G$9,""),IFERROR(INDEX(ShiftKnowledge!$G$2:$G$9,MATCH($B372&amp;"|"&amp;$D372,ShiftKnowledge!$A$2:$A$9,0)),"")))</f>
        <v/>
      </c>
      <c r="K372" s="6">
        <f>IF($D372="Custom","",IFERROR(XLOOKUP($B372&amp;"|"&amp;$D372,ShiftKnowledge!$A$2:$A$9,ShiftKnowledge!$H$2:$H$9,""),IFERROR(INDEX(ShiftKnowledge!$H$2:$H$9,MATCH($B372&amp;"|"&amp;$D372,ShiftKnowledge!$A$2:$A$9,0)),"")))</f>
        <v/>
      </c>
      <c r="L372" s="6">
        <f>IF($D372="Custom","",IFERROR(XLOOKUP($B372&amp;"|"&amp;$D372,ShiftKnowledge!$A$2:$A$9,ShiftKnowledge!$I$2:$I$9,""),IFERROR(INDEX(ShiftKnowledge!$I$2:$I$9,MATCH($B372&amp;"|"&amp;$D372,ShiftKnowledge!$A$2:$A$9,0)),"")))</f>
        <v/>
      </c>
      <c r="M372" s="6" t="inlineStr"/>
    </row>
    <row r="373" ht="20" customHeight="1">
      <c r="A373" s="4" t="inlineStr">
        <is>
          <t>17/11/2025</t>
        </is>
      </c>
      <c r="B373" s="4" t="inlineStr">
        <is>
          <t>Internal Medicine</t>
        </is>
      </c>
      <c r="C373" s="5" t="inlineStr">
        <is>
          <t>Dr. Hatem Hassan Mohamed Abdelhafez</t>
        </is>
      </c>
      <c r="D373" s="4" t="inlineStr"/>
      <c r="E373" s="4">
        <f>IF($D373="Custom","",IFERROR(XLOOKUP($B373&amp;"|"&amp;$D373,ShiftKnowledge!$A$2:$A$9,ShiftKnowledge!$D$2:$D$9,""),IFERROR(INDEX(ShiftKnowledge!$D$2:$D$9,MATCH($B373&amp;"|"&amp;$D373,ShiftKnowledge!$A$2:$A$9,0)),"")))</f>
        <v/>
      </c>
      <c r="F373" s="4" t="inlineStr"/>
      <c r="G373" s="4">
        <f>IF(AND($I373="",$L373=""),"",IFERROR(VALUE($I373),0)+IFERROR(VALUE($L373),0))</f>
        <v/>
      </c>
      <c r="H373" s="4">
        <f>IF($D373="Custom","",IFERROR(XLOOKUP($B373&amp;"|"&amp;$D373,ShiftKnowledge!$A$2:$A$9,ShiftKnowledge!$E$2:$E$9,""),IFERROR(INDEX(ShiftKnowledge!$E$2:$E$9,MATCH($B373&amp;"|"&amp;$D373,ShiftKnowledge!$A$2:$A$9,0)),"")))</f>
        <v/>
      </c>
      <c r="I373" s="4">
        <f>IF($D373="Custom","",IFERROR(XLOOKUP($B373&amp;"|"&amp;$D373,ShiftKnowledge!$A$2:$A$9,ShiftKnowledge!$F$2:$F$9,""),IFERROR(INDEX(ShiftKnowledge!$F$2:$F$9,MATCH($B373&amp;"|"&amp;$D373,ShiftKnowledge!$A$2:$A$9,0)),"")))</f>
        <v/>
      </c>
      <c r="J373" s="4">
        <f>IF($D373="Custom","",IFERROR(XLOOKUP($B373&amp;"|"&amp;$D373,ShiftKnowledge!$A$2:$A$9,ShiftKnowledge!$G$2:$G$9,""),IFERROR(INDEX(ShiftKnowledge!$G$2:$G$9,MATCH($B373&amp;"|"&amp;$D373,ShiftKnowledge!$A$2:$A$9,0)),"")))</f>
        <v/>
      </c>
      <c r="K373" s="4">
        <f>IF($D373="Custom","",IFERROR(XLOOKUP($B373&amp;"|"&amp;$D373,ShiftKnowledge!$A$2:$A$9,ShiftKnowledge!$H$2:$H$9,""),IFERROR(INDEX(ShiftKnowledge!$H$2:$H$9,MATCH($B373&amp;"|"&amp;$D373,ShiftKnowledge!$A$2:$A$9,0)),"")))</f>
        <v/>
      </c>
      <c r="L373" s="4">
        <f>IF($D373="Custom","",IFERROR(XLOOKUP($B373&amp;"|"&amp;$D373,ShiftKnowledge!$A$2:$A$9,ShiftKnowledge!$I$2:$I$9,""),IFERROR(INDEX(ShiftKnowledge!$I$2:$I$9,MATCH($B373&amp;"|"&amp;$D373,ShiftKnowledge!$A$2:$A$9,0)),"")))</f>
        <v/>
      </c>
      <c r="M373" s="4" t="inlineStr"/>
    </row>
    <row r="374" ht="20" customHeight="1">
      <c r="A374" s="6" t="inlineStr">
        <is>
          <t>17/11/2025</t>
        </is>
      </c>
      <c r="B374" s="6" t="inlineStr">
        <is>
          <t>Gynaecology</t>
        </is>
      </c>
      <c r="C374" s="7" t="inlineStr">
        <is>
          <t>Dr. Hawwa Inaya</t>
        </is>
      </c>
      <c r="D374" s="6" t="inlineStr"/>
      <c r="E374" s="6">
        <f>IF($D374="Custom","",IFERROR(XLOOKUP($B374&amp;"|"&amp;$D374,ShiftKnowledge!$A$2:$A$9,ShiftKnowledge!$D$2:$D$9,""),IFERROR(INDEX(ShiftKnowledge!$D$2:$D$9,MATCH($B374&amp;"|"&amp;$D374,ShiftKnowledge!$A$2:$A$9,0)),"")))</f>
        <v/>
      </c>
      <c r="F374" s="6" t="inlineStr"/>
      <c r="G374" s="6">
        <f>IF(AND($I374="",$L374=""),"",IFERROR(VALUE($I374),0)+IFERROR(VALUE($L374),0))</f>
        <v/>
      </c>
      <c r="H374" s="6">
        <f>IF($D374="Custom","",IFERROR(XLOOKUP($B374&amp;"|"&amp;$D374,ShiftKnowledge!$A$2:$A$9,ShiftKnowledge!$E$2:$E$9,""),IFERROR(INDEX(ShiftKnowledge!$E$2:$E$9,MATCH($B374&amp;"|"&amp;$D374,ShiftKnowledge!$A$2:$A$9,0)),"")))</f>
        <v/>
      </c>
      <c r="I374" s="6">
        <f>IF($D374="Custom","",IFERROR(XLOOKUP($B374&amp;"|"&amp;$D374,ShiftKnowledge!$A$2:$A$9,ShiftKnowledge!$F$2:$F$9,""),IFERROR(INDEX(ShiftKnowledge!$F$2:$F$9,MATCH($B374&amp;"|"&amp;$D374,ShiftKnowledge!$A$2:$A$9,0)),"")))</f>
        <v/>
      </c>
      <c r="J374" s="6">
        <f>IF($D374="Custom","",IFERROR(XLOOKUP($B374&amp;"|"&amp;$D374,ShiftKnowledge!$A$2:$A$9,ShiftKnowledge!$G$2:$G$9,""),IFERROR(INDEX(ShiftKnowledge!$G$2:$G$9,MATCH($B374&amp;"|"&amp;$D374,ShiftKnowledge!$A$2:$A$9,0)),"")))</f>
        <v/>
      </c>
      <c r="K374" s="6">
        <f>IF($D374="Custom","",IFERROR(XLOOKUP($B374&amp;"|"&amp;$D374,ShiftKnowledge!$A$2:$A$9,ShiftKnowledge!$H$2:$H$9,""),IFERROR(INDEX(ShiftKnowledge!$H$2:$H$9,MATCH($B374&amp;"|"&amp;$D374,ShiftKnowledge!$A$2:$A$9,0)),"")))</f>
        <v/>
      </c>
      <c r="L374" s="6">
        <f>IF($D374="Custom","",IFERROR(XLOOKUP($B374&amp;"|"&amp;$D374,ShiftKnowledge!$A$2:$A$9,ShiftKnowledge!$I$2:$I$9,""),IFERROR(INDEX(ShiftKnowledge!$I$2:$I$9,MATCH($B374&amp;"|"&amp;$D374,ShiftKnowledge!$A$2:$A$9,0)),"")))</f>
        <v/>
      </c>
      <c r="M374" s="6" t="inlineStr"/>
    </row>
    <row r="375" ht="20" customHeight="1">
      <c r="A375" s="4" t="inlineStr">
        <is>
          <t>17/11/2025</t>
        </is>
      </c>
      <c r="B375" s="4" t="inlineStr">
        <is>
          <t>Gynaecology</t>
        </is>
      </c>
      <c r="C375" s="5" t="inlineStr">
        <is>
          <t>Dr. Joshila Chanu Yumnam Bhattarai</t>
        </is>
      </c>
      <c r="D375" s="4" t="inlineStr"/>
      <c r="E375" s="4">
        <f>IF($D375="Custom","",IFERROR(XLOOKUP($B375&amp;"|"&amp;$D375,ShiftKnowledge!$A$2:$A$9,ShiftKnowledge!$D$2:$D$9,""),IFERROR(INDEX(ShiftKnowledge!$D$2:$D$9,MATCH($B375&amp;"|"&amp;$D375,ShiftKnowledge!$A$2:$A$9,0)),"")))</f>
        <v/>
      </c>
      <c r="F375" s="4" t="inlineStr"/>
      <c r="G375" s="4">
        <f>IF(AND($I375="",$L375=""),"",IFERROR(VALUE($I375),0)+IFERROR(VALUE($L375),0))</f>
        <v/>
      </c>
      <c r="H375" s="4">
        <f>IF($D375="Custom","",IFERROR(XLOOKUP($B375&amp;"|"&amp;$D375,ShiftKnowledge!$A$2:$A$9,ShiftKnowledge!$E$2:$E$9,""),IFERROR(INDEX(ShiftKnowledge!$E$2:$E$9,MATCH($B375&amp;"|"&amp;$D375,ShiftKnowledge!$A$2:$A$9,0)),"")))</f>
        <v/>
      </c>
      <c r="I375" s="4">
        <f>IF($D375="Custom","",IFERROR(XLOOKUP($B375&amp;"|"&amp;$D375,ShiftKnowledge!$A$2:$A$9,ShiftKnowledge!$F$2:$F$9,""),IFERROR(INDEX(ShiftKnowledge!$F$2:$F$9,MATCH($B375&amp;"|"&amp;$D375,ShiftKnowledge!$A$2:$A$9,0)),"")))</f>
        <v/>
      </c>
      <c r="J375" s="4">
        <f>IF($D375="Custom","",IFERROR(XLOOKUP($B375&amp;"|"&amp;$D375,ShiftKnowledge!$A$2:$A$9,ShiftKnowledge!$G$2:$G$9,""),IFERROR(INDEX(ShiftKnowledge!$G$2:$G$9,MATCH($B375&amp;"|"&amp;$D375,ShiftKnowledge!$A$2:$A$9,0)),"")))</f>
        <v/>
      </c>
      <c r="K375" s="4">
        <f>IF($D375="Custom","",IFERROR(XLOOKUP($B375&amp;"|"&amp;$D375,ShiftKnowledge!$A$2:$A$9,ShiftKnowledge!$H$2:$H$9,""),IFERROR(INDEX(ShiftKnowledge!$H$2:$H$9,MATCH($B375&amp;"|"&amp;$D375,ShiftKnowledge!$A$2:$A$9,0)),"")))</f>
        <v/>
      </c>
      <c r="L375" s="4">
        <f>IF($D375="Custom","",IFERROR(XLOOKUP($B375&amp;"|"&amp;$D375,ShiftKnowledge!$A$2:$A$9,ShiftKnowledge!$I$2:$I$9,""),IFERROR(INDEX(ShiftKnowledge!$I$2:$I$9,MATCH($B375&amp;"|"&amp;$D375,ShiftKnowledge!$A$2:$A$9,0)),"")))</f>
        <v/>
      </c>
      <c r="M375" s="4" t="inlineStr"/>
    </row>
    <row r="376" ht="20" customHeight="1">
      <c r="A376" s="6" t="inlineStr">
        <is>
          <t>17/11/2025</t>
        </is>
      </c>
      <c r="B376" s="6" t="inlineStr">
        <is>
          <t>Gynaecology</t>
        </is>
      </c>
      <c r="C376" s="7" t="inlineStr">
        <is>
          <t>Dr. Jumailath Beygum</t>
        </is>
      </c>
      <c r="D376" s="6" t="inlineStr"/>
      <c r="E376" s="6">
        <f>IF($D376="Custom","",IFERROR(XLOOKUP($B376&amp;"|"&amp;$D376,ShiftKnowledge!$A$2:$A$9,ShiftKnowledge!$D$2:$D$9,""),IFERROR(INDEX(ShiftKnowledge!$D$2:$D$9,MATCH($B376&amp;"|"&amp;$D376,ShiftKnowledge!$A$2:$A$9,0)),"")))</f>
        <v/>
      </c>
      <c r="F376" s="6" t="inlineStr"/>
      <c r="G376" s="6">
        <f>IF(AND($I376="",$L376=""),"",IFERROR(VALUE($I376),0)+IFERROR(VALUE($L376),0))</f>
        <v/>
      </c>
      <c r="H376" s="6">
        <f>IF($D376="Custom","",IFERROR(XLOOKUP($B376&amp;"|"&amp;$D376,ShiftKnowledge!$A$2:$A$9,ShiftKnowledge!$E$2:$E$9,""),IFERROR(INDEX(ShiftKnowledge!$E$2:$E$9,MATCH($B376&amp;"|"&amp;$D376,ShiftKnowledge!$A$2:$A$9,0)),"")))</f>
        <v/>
      </c>
      <c r="I376" s="6">
        <f>IF($D376="Custom","",IFERROR(XLOOKUP($B376&amp;"|"&amp;$D376,ShiftKnowledge!$A$2:$A$9,ShiftKnowledge!$F$2:$F$9,""),IFERROR(INDEX(ShiftKnowledge!$F$2:$F$9,MATCH($B376&amp;"|"&amp;$D376,ShiftKnowledge!$A$2:$A$9,0)),"")))</f>
        <v/>
      </c>
      <c r="J376" s="6">
        <f>IF($D376="Custom","",IFERROR(XLOOKUP($B376&amp;"|"&amp;$D376,ShiftKnowledge!$A$2:$A$9,ShiftKnowledge!$G$2:$G$9,""),IFERROR(INDEX(ShiftKnowledge!$G$2:$G$9,MATCH($B376&amp;"|"&amp;$D376,ShiftKnowledge!$A$2:$A$9,0)),"")))</f>
        <v/>
      </c>
      <c r="K376" s="6">
        <f>IF($D376="Custom","",IFERROR(XLOOKUP($B376&amp;"|"&amp;$D376,ShiftKnowledge!$A$2:$A$9,ShiftKnowledge!$H$2:$H$9,""),IFERROR(INDEX(ShiftKnowledge!$H$2:$H$9,MATCH($B376&amp;"|"&amp;$D376,ShiftKnowledge!$A$2:$A$9,0)),"")))</f>
        <v/>
      </c>
      <c r="L376" s="6">
        <f>IF($D376="Custom","",IFERROR(XLOOKUP($B376&amp;"|"&amp;$D376,ShiftKnowledge!$A$2:$A$9,ShiftKnowledge!$I$2:$I$9,""),IFERROR(INDEX(ShiftKnowledge!$I$2:$I$9,MATCH($B376&amp;"|"&amp;$D376,ShiftKnowledge!$A$2:$A$9,0)),"")))</f>
        <v/>
      </c>
      <c r="M376" s="6" t="inlineStr"/>
    </row>
    <row r="377" ht="20" customHeight="1">
      <c r="A377" s="4" t="inlineStr">
        <is>
          <t>17/11/2025</t>
        </is>
      </c>
      <c r="B377" s="4" t="inlineStr">
        <is>
          <t>General Surgery</t>
        </is>
      </c>
      <c r="C377" s="5" t="inlineStr">
        <is>
          <t>Dr. Khine Su Kyi</t>
        </is>
      </c>
      <c r="D377" s="4" t="inlineStr"/>
      <c r="E377" s="4">
        <f>IF($D377="Custom","",IFERROR(XLOOKUP($B377&amp;"|"&amp;$D377,ShiftKnowledge!$A$2:$A$9,ShiftKnowledge!$D$2:$D$9,""),IFERROR(INDEX(ShiftKnowledge!$D$2:$D$9,MATCH($B377&amp;"|"&amp;$D377,ShiftKnowledge!$A$2:$A$9,0)),"")))</f>
        <v/>
      </c>
      <c r="F377" s="4" t="inlineStr"/>
      <c r="G377" s="4">
        <f>IF(AND($I377="",$L377=""),"",IFERROR(VALUE($I377),0)+IFERROR(VALUE($L377),0))</f>
        <v/>
      </c>
      <c r="H377" s="4">
        <f>IF($D377="Custom","",IFERROR(XLOOKUP($B377&amp;"|"&amp;$D377,ShiftKnowledge!$A$2:$A$9,ShiftKnowledge!$E$2:$E$9,""),IFERROR(INDEX(ShiftKnowledge!$E$2:$E$9,MATCH($B377&amp;"|"&amp;$D377,ShiftKnowledge!$A$2:$A$9,0)),"")))</f>
        <v/>
      </c>
      <c r="I377" s="4">
        <f>IF($D377="Custom","",IFERROR(XLOOKUP($B377&amp;"|"&amp;$D377,ShiftKnowledge!$A$2:$A$9,ShiftKnowledge!$F$2:$F$9,""),IFERROR(INDEX(ShiftKnowledge!$F$2:$F$9,MATCH($B377&amp;"|"&amp;$D377,ShiftKnowledge!$A$2:$A$9,0)),"")))</f>
        <v/>
      </c>
      <c r="J377" s="4">
        <f>IF($D377="Custom","",IFERROR(XLOOKUP($B377&amp;"|"&amp;$D377,ShiftKnowledge!$A$2:$A$9,ShiftKnowledge!$G$2:$G$9,""),IFERROR(INDEX(ShiftKnowledge!$G$2:$G$9,MATCH($B377&amp;"|"&amp;$D377,ShiftKnowledge!$A$2:$A$9,0)),"")))</f>
        <v/>
      </c>
      <c r="K377" s="4">
        <f>IF($D377="Custom","",IFERROR(XLOOKUP($B377&amp;"|"&amp;$D377,ShiftKnowledge!$A$2:$A$9,ShiftKnowledge!$H$2:$H$9,""),IFERROR(INDEX(ShiftKnowledge!$H$2:$H$9,MATCH($B377&amp;"|"&amp;$D377,ShiftKnowledge!$A$2:$A$9,0)),"")))</f>
        <v/>
      </c>
      <c r="L377" s="4">
        <f>IF($D377="Custom","",IFERROR(XLOOKUP($B377&amp;"|"&amp;$D377,ShiftKnowledge!$A$2:$A$9,ShiftKnowledge!$I$2:$I$9,""),IFERROR(INDEX(ShiftKnowledge!$I$2:$I$9,MATCH($B377&amp;"|"&amp;$D377,ShiftKnowledge!$A$2:$A$9,0)),"")))</f>
        <v/>
      </c>
      <c r="M377" s="4" t="inlineStr"/>
    </row>
    <row r="378" ht="20" customHeight="1">
      <c r="A378" s="6" t="inlineStr">
        <is>
          <t>17/11/2025</t>
        </is>
      </c>
      <c r="B378" s="6" t="inlineStr">
        <is>
          <t>Dental</t>
        </is>
      </c>
      <c r="C378" s="7" t="inlineStr">
        <is>
          <t>Dr. Mariyam Afza Zuhair</t>
        </is>
      </c>
      <c r="D378" s="6" t="inlineStr"/>
      <c r="E378" s="6">
        <f>IF($D378="Custom","",IFERROR(XLOOKUP($B378&amp;"|"&amp;$D378,ShiftKnowledge!$A$2:$A$9,ShiftKnowledge!$D$2:$D$9,""),IFERROR(INDEX(ShiftKnowledge!$D$2:$D$9,MATCH($B378&amp;"|"&amp;$D378,ShiftKnowledge!$A$2:$A$9,0)),"")))</f>
        <v/>
      </c>
      <c r="F378" s="6" t="inlineStr"/>
      <c r="G378" s="6">
        <f>IF(AND($I378="",$L378=""),"",IFERROR(VALUE($I378),0)+IFERROR(VALUE($L378),0))</f>
        <v/>
      </c>
      <c r="H378" s="6">
        <f>IF($D378="Custom","",IFERROR(XLOOKUP($B378&amp;"|"&amp;$D378,ShiftKnowledge!$A$2:$A$9,ShiftKnowledge!$E$2:$E$9,""),IFERROR(INDEX(ShiftKnowledge!$E$2:$E$9,MATCH($B378&amp;"|"&amp;$D378,ShiftKnowledge!$A$2:$A$9,0)),"")))</f>
        <v/>
      </c>
      <c r="I378" s="6">
        <f>IF($D378="Custom","",IFERROR(XLOOKUP($B378&amp;"|"&amp;$D378,ShiftKnowledge!$A$2:$A$9,ShiftKnowledge!$F$2:$F$9,""),IFERROR(INDEX(ShiftKnowledge!$F$2:$F$9,MATCH($B378&amp;"|"&amp;$D378,ShiftKnowledge!$A$2:$A$9,0)),"")))</f>
        <v/>
      </c>
      <c r="J378" s="6">
        <f>IF($D378="Custom","",IFERROR(XLOOKUP($B378&amp;"|"&amp;$D378,ShiftKnowledge!$A$2:$A$9,ShiftKnowledge!$G$2:$G$9,""),IFERROR(INDEX(ShiftKnowledge!$G$2:$G$9,MATCH($B378&amp;"|"&amp;$D378,ShiftKnowledge!$A$2:$A$9,0)),"")))</f>
        <v/>
      </c>
      <c r="K378" s="6">
        <f>IF($D378="Custom","",IFERROR(XLOOKUP($B378&amp;"|"&amp;$D378,ShiftKnowledge!$A$2:$A$9,ShiftKnowledge!$H$2:$H$9,""),IFERROR(INDEX(ShiftKnowledge!$H$2:$H$9,MATCH($B378&amp;"|"&amp;$D378,ShiftKnowledge!$A$2:$A$9,0)),"")))</f>
        <v/>
      </c>
      <c r="L378" s="6">
        <f>IF($D378="Custom","",IFERROR(XLOOKUP($B378&amp;"|"&amp;$D378,ShiftKnowledge!$A$2:$A$9,ShiftKnowledge!$I$2:$I$9,""),IFERROR(INDEX(ShiftKnowledge!$I$2:$I$9,MATCH($B378&amp;"|"&amp;$D378,ShiftKnowledge!$A$2:$A$9,0)),"")))</f>
        <v/>
      </c>
      <c r="M378" s="6" t="inlineStr"/>
    </row>
    <row r="379" ht="20" customHeight="1">
      <c r="A379" s="4" t="inlineStr">
        <is>
          <t>17/11/2025</t>
        </is>
      </c>
      <c r="B379" s="4" t="inlineStr">
        <is>
          <t>Psychiatry</t>
        </is>
      </c>
      <c r="C379" s="5" t="inlineStr">
        <is>
          <t>Dr. Maumoon Shareef</t>
        </is>
      </c>
      <c r="D379" s="4" t="inlineStr"/>
      <c r="E379" s="4">
        <f>IF($D379="Custom","",IFERROR(XLOOKUP($B379&amp;"|"&amp;$D379,ShiftKnowledge!$A$2:$A$9,ShiftKnowledge!$D$2:$D$9,""),IFERROR(INDEX(ShiftKnowledge!$D$2:$D$9,MATCH($B379&amp;"|"&amp;$D379,ShiftKnowledge!$A$2:$A$9,0)),"")))</f>
        <v/>
      </c>
      <c r="F379" s="4" t="inlineStr"/>
      <c r="G379" s="4">
        <f>IF(AND($I379="",$L379=""),"",IFERROR(VALUE($I379),0)+IFERROR(VALUE($L379),0))</f>
        <v/>
      </c>
      <c r="H379" s="4">
        <f>IF($D379="Custom","",IFERROR(XLOOKUP($B379&amp;"|"&amp;$D379,ShiftKnowledge!$A$2:$A$9,ShiftKnowledge!$E$2:$E$9,""),IFERROR(INDEX(ShiftKnowledge!$E$2:$E$9,MATCH($B379&amp;"|"&amp;$D379,ShiftKnowledge!$A$2:$A$9,0)),"")))</f>
        <v/>
      </c>
      <c r="I379" s="4">
        <f>IF($D379="Custom","",IFERROR(XLOOKUP($B379&amp;"|"&amp;$D379,ShiftKnowledge!$A$2:$A$9,ShiftKnowledge!$F$2:$F$9,""),IFERROR(INDEX(ShiftKnowledge!$F$2:$F$9,MATCH($B379&amp;"|"&amp;$D379,ShiftKnowledge!$A$2:$A$9,0)),"")))</f>
        <v/>
      </c>
      <c r="J379" s="4">
        <f>IF($D379="Custom","",IFERROR(XLOOKUP($B379&amp;"|"&amp;$D379,ShiftKnowledge!$A$2:$A$9,ShiftKnowledge!$G$2:$G$9,""),IFERROR(INDEX(ShiftKnowledge!$G$2:$G$9,MATCH($B379&amp;"|"&amp;$D379,ShiftKnowledge!$A$2:$A$9,0)),"")))</f>
        <v/>
      </c>
      <c r="K379" s="4">
        <f>IF($D379="Custom","",IFERROR(XLOOKUP($B379&amp;"|"&amp;$D379,ShiftKnowledge!$A$2:$A$9,ShiftKnowledge!$H$2:$H$9,""),IFERROR(INDEX(ShiftKnowledge!$H$2:$H$9,MATCH($B379&amp;"|"&amp;$D379,ShiftKnowledge!$A$2:$A$9,0)),"")))</f>
        <v/>
      </c>
      <c r="L379" s="4">
        <f>IF($D379="Custom","",IFERROR(XLOOKUP($B379&amp;"|"&amp;$D379,ShiftKnowledge!$A$2:$A$9,ShiftKnowledge!$I$2:$I$9,""),IFERROR(INDEX(ShiftKnowledge!$I$2:$I$9,MATCH($B379&amp;"|"&amp;$D379,ShiftKnowledge!$A$2:$A$9,0)),"")))</f>
        <v/>
      </c>
      <c r="M379" s="4" t="inlineStr"/>
    </row>
    <row r="380" ht="20" customHeight="1">
      <c r="A380" s="6" t="inlineStr">
        <is>
          <t>17/11/2025</t>
        </is>
      </c>
      <c r="B380" s="6" t="inlineStr">
        <is>
          <t>Internal Medicine</t>
        </is>
      </c>
      <c r="C380" s="7" t="inlineStr">
        <is>
          <t>Dr. Mihuna Ibrahim</t>
        </is>
      </c>
      <c r="D380" s="6" t="inlineStr"/>
      <c r="E380" s="6">
        <f>IF($D380="Custom","",IFERROR(XLOOKUP($B380&amp;"|"&amp;$D380,ShiftKnowledge!$A$2:$A$9,ShiftKnowledge!$D$2:$D$9,""),IFERROR(INDEX(ShiftKnowledge!$D$2:$D$9,MATCH($B380&amp;"|"&amp;$D380,ShiftKnowledge!$A$2:$A$9,0)),"")))</f>
        <v/>
      </c>
      <c r="F380" s="6" t="inlineStr"/>
      <c r="G380" s="6">
        <f>IF(AND($I380="",$L380=""),"",IFERROR(VALUE($I380),0)+IFERROR(VALUE($L380),0))</f>
        <v/>
      </c>
      <c r="H380" s="6">
        <f>IF($D380="Custom","",IFERROR(XLOOKUP($B380&amp;"|"&amp;$D380,ShiftKnowledge!$A$2:$A$9,ShiftKnowledge!$E$2:$E$9,""),IFERROR(INDEX(ShiftKnowledge!$E$2:$E$9,MATCH($B380&amp;"|"&amp;$D380,ShiftKnowledge!$A$2:$A$9,0)),"")))</f>
        <v/>
      </c>
      <c r="I380" s="6">
        <f>IF($D380="Custom","",IFERROR(XLOOKUP($B380&amp;"|"&amp;$D380,ShiftKnowledge!$A$2:$A$9,ShiftKnowledge!$F$2:$F$9,""),IFERROR(INDEX(ShiftKnowledge!$F$2:$F$9,MATCH($B380&amp;"|"&amp;$D380,ShiftKnowledge!$A$2:$A$9,0)),"")))</f>
        <v/>
      </c>
      <c r="J380" s="6">
        <f>IF($D380="Custom","",IFERROR(XLOOKUP($B380&amp;"|"&amp;$D380,ShiftKnowledge!$A$2:$A$9,ShiftKnowledge!$G$2:$G$9,""),IFERROR(INDEX(ShiftKnowledge!$G$2:$G$9,MATCH($B380&amp;"|"&amp;$D380,ShiftKnowledge!$A$2:$A$9,0)),"")))</f>
        <v/>
      </c>
      <c r="K380" s="6">
        <f>IF($D380="Custom","",IFERROR(XLOOKUP($B380&amp;"|"&amp;$D380,ShiftKnowledge!$A$2:$A$9,ShiftKnowledge!$H$2:$H$9,""),IFERROR(INDEX(ShiftKnowledge!$H$2:$H$9,MATCH($B380&amp;"|"&amp;$D380,ShiftKnowledge!$A$2:$A$9,0)),"")))</f>
        <v/>
      </c>
      <c r="L380" s="6">
        <f>IF($D380="Custom","",IFERROR(XLOOKUP($B380&amp;"|"&amp;$D380,ShiftKnowledge!$A$2:$A$9,ShiftKnowledge!$I$2:$I$9,""),IFERROR(INDEX(ShiftKnowledge!$I$2:$I$9,MATCH($B380&amp;"|"&amp;$D380,ShiftKnowledge!$A$2:$A$9,0)),"")))</f>
        <v/>
      </c>
      <c r="M380" s="6" t="inlineStr"/>
    </row>
    <row r="381" ht="20" customHeight="1">
      <c r="A381" s="4" t="inlineStr">
        <is>
          <t>17/11/2025</t>
        </is>
      </c>
      <c r="B381" s="4" t="inlineStr">
        <is>
          <t>Endocrinology</t>
        </is>
      </c>
      <c r="C381" s="5" t="inlineStr">
        <is>
          <t>Dr. Mohamed Wisham</t>
        </is>
      </c>
      <c r="D381" s="4" t="inlineStr"/>
      <c r="E381" s="4">
        <f>IF($D381="Custom","",IFERROR(XLOOKUP($B381&amp;"|"&amp;$D381,ShiftKnowledge!$A$2:$A$9,ShiftKnowledge!$D$2:$D$9,""),IFERROR(INDEX(ShiftKnowledge!$D$2:$D$9,MATCH($B381&amp;"|"&amp;$D381,ShiftKnowledge!$A$2:$A$9,0)),"")))</f>
        <v/>
      </c>
      <c r="F381" s="4" t="inlineStr"/>
      <c r="G381" s="4">
        <f>IF(AND($I381="",$L381=""),"",IFERROR(VALUE($I381),0)+IFERROR(VALUE($L381),0))</f>
        <v/>
      </c>
      <c r="H381" s="4">
        <f>IF($D381="Custom","",IFERROR(XLOOKUP($B381&amp;"|"&amp;$D381,ShiftKnowledge!$A$2:$A$9,ShiftKnowledge!$E$2:$E$9,""),IFERROR(INDEX(ShiftKnowledge!$E$2:$E$9,MATCH($B381&amp;"|"&amp;$D381,ShiftKnowledge!$A$2:$A$9,0)),"")))</f>
        <v/>
      </c>
      <c r="I381" s="4">
        <f>IF($D381="Custom","",IFERROR(XLOOKUP($B381&amp;"|"&amp;$D381,ShiftKnowledge!$A$2:$A$9,ShiftKnowledge!$F$2:$F$9,""),IFERROR(INDEX(ShiftKnowledge!$F$2:$F$9,MATCH($B381&amp;"|"&amp;$D381,ShiftKnowledge!$A$2:$A$9,0)),"")))</f>
        <v/>
      </c>
      <c r="J381" s="4">
        <f>IF($D381="Custom","",IFERROR(XLOOKUP($B381&amp;"|"&amp;$D381,ShiftKnowledge!$A$2:$A$9,ShiftKnowledge!$G$2:$G$9,""),IFERROR(INDEX(ShiftKnowledge!$G$2:$G$9,MATCH($B381&amp;"|"&amp;$D381,ShiftKnowledge!$A$2:$A$9,0)),"")))</f>
        <v/>
      </c>
      <c r="K381" s="4">
        <f>IF($D381="Custom","",IFERROR(XLOOKUP($B381&amp;"|"&amp;$D381,ShiftKnowledge!$A$2:$A$9,ShiftKnowledge!$H$2:$H$9,""),IFERROR(INDEX(ShiftKnowledge!$H$2:$H$9,MATCH($B381&amp;"|"&amp;$D381,ShiftKnowledge!$A$2:$A$9,0)),"")))</f>
        <v/>
      </c>
      <c r="L381" s="4">
        <f>IF($D381="Custom","",IFERROR(XLOOKUP($B381&amp;"|"&amp;$D381,ShiftKnowledge!$A$2:$A$9,ShiftKnowledge!$I$2:$I$9,""),IFERROR(INDEX(ShiftKnowledge!$I$2:$I$9,MATCH($B381&amp;"|"&amp;$D381,ShiftKnowledge!$A$2:$A$9,0)),"")))</f>
        <v/>
      </c>
      <c r="M381" s="4" t="inlineStr"/>
    </row>
    <row r="382" ht="20" customHeight="1">
      <c r="A382" s="6" t="inlineStr">
        <is>
          <t>17/11/2025</t>
        </is>
      </c>
      <c r="B382" s="6" t="inlineStr">
        <is>
          <t>Cardiology</t>
        </is>
      </c>
      <c r="C382" s="7" t="inlineStr">
        <is>
          <t>Dr. Moosa Manik</t>
        </is>
      </c>
      <c r="D382" s="6" t="inlineStr"/>
      <c r="E382" s="6">
        <f>IF($D382="Custom","",IFERROR(XLOOKUP($B382&amp;"|"&amp;$D382,ShiftKnowledge!$A$2:$A$9,ShiftKnowledge!$D$2:$D$9,""),IFERROR(INDEX(ShiftKnowledge!$D$2:$D$9,MATCH($B382&amp;"|"&amp;$D382,ShiftKnowledge!$A$2:$A$9,0)),"")))</f>
        <v/>
      </c>
      <c r="F382" s="6" t="inlineStr"/>
      <c r="G382" s="6">
        <f>IF(AND($I382="",$L382=""),"",IFERROR(VALUE($I382),0)+IFERROR(VALUE($L382),0))</f>
        <v/>
      </c>
      <c r="H382" s="6">
        <f>IF($D382="Custom","",IFERROR(XLOOKUP($B382&amp;"|"&amp;$D382,ShiftKnowledge!$A$2:$A$9,ShiftKnowledge!$E$2:$E$9,""),IFERROR(INDEX(ShiftKnowledge!$E$2:$E$9,MATCH($B382&amp;"|"&amp;$D382,ShiftKnowledge!$A$2:$A$9,0)),"")))</f>
        <v/>
      </c>
      <c r="I382" s="6">
        <f>IF($D382="Custom","",IFERROR(XLOOKUP($B382&amp;"|"&amp;$D382,ShiftKnowledge!$A$2:$A$9,ShiftKnowledge!$F$2:$F$9,""),IFERROR(INDEX(ShiftKnowledge!$F$2:$F$9,MATCH($B382&amp;"|"&amp;$D382,ShiftKnowledge!$A$2:$A$9,0)),"")))</f>
        <v/>
      </c>
      <c r="J382" s="6">
        <f>IF($D382="Custom","",IFERROR(XLOOKUP($B382&amp;"|"&amp;$D382,ShiftKnowledge!$A$2:$A$9,ShiftKnowledge!$G$2:$G$9,""),IFERROR(INDEX(ShiftKnowledge!$G$2:$G$9,MATCH($B382&amp;"|"&amp;$D382,ShiftKnowledge!$A$2:$A$9,0)),"")))</f>
        <v/>
      </c>
      <c r="K382" s="6">
        <f>IF($D382="Custom","",IFERROR(XLOOKUP($B382&amp;"|"&amp;$D382,ShiftKnowledge!$A$2:$A$9,ShiftKnowledge!$H$2:$H$9,""),IFERROR(INDEX(ShiftKnowledge!$H$2:$H$9,MATCH($B382&amp;"|"&amp;$D382,ShiftKnowledge!$A$2:$A$9,0)),"")))</f>
        <v/>
      </c>
      <c r="L382" s="6">
        <f>IF($D382="Custom","",IFERROR(XLOOKUP($B382&amp;"|"&amp;$D382,ShiftKnowledge!$A$2:$A$9,ShiftKnowledge!$I$2:$I$9,""),IFERROR(INDEX(ShiftKnowledge!$I$2:$I$9,MATCH($B382&amp;"|"&amp;$D382,ShiftKnowledge!$A$2:$A$9,0)),"")))</f>
        <v/>
      </c>
      <c r="M382" s="6" t="inlineStr"/>
    </row>
    <row r="383" ht="20" customHeight="1">
      <c r="A383" s="4" t="inlineStr">
        <is>
          <t>17/11/2025</t>
        </is>
      </c>
      <c r="B383" s="4" t="inlineStr">
        <is>
          <t>Nephrology</t>
        </is>
      </c>
      <c r="C383" s="5" t="inlineStr">
        <is>
          <t>Dr. Muhammad Mujtaba Ur Rehman</t>
        </is>
      </c>
      <c r="D383" s="4" t="inlineStr"/>
      <c r="E383" s="4">
        <f>IF($D383="Custom","",IFERROR(XLOOKUP($B383&amp;"|"&amp;$D383,ShiftKnowledge!$A$2:$A$9,ShiftKnowledge!$D$2:$D$9,""),IFERROR(INDEX(ShiftKnowledge!$D$2:$D$9,MATCH($B383&amp;"|"&amp;$D383,ShiftKnowledge!$A$2:$A$9,0)),"")))</f>
        <v/>
      </c>
      <c r="F383" s="4" t="inlineStr"/>
      <c r="G383" s="4">
        <f>IF(AND($I383="",$L383=""),"",IFERROR(VALUE($I383),0)+IFERROR(VALUE($L383),0))</f>
        <v/>
      </c>
      <c r="H383" s="4">
        <f>IF($D383="Custom","",IFERROR(XLOOKUP($B383&amp;"|"&amp;$D383,ShiftKnowledge!$A$2:$A$9,ShiftKnowledge!$E$2:$E$9,""),IFERROR(INDEX(ShiftKnowledge!$E$2:$E$9,MATCH($B383&amp;"|"&amp;$D383,ShiftKnowledge!$A$2:$A$9,0)),"")))</f>
        <v/>
      </c>
      <c r="I383" s="4">
        <f>IF($D383="Custom","",IFERROR(XLOOKUP($B383&amp;"|"&amp;$D383,ShiftKnowledge!$A$2:$A$9,ShiftKnowledge!$F$2:$F$9,""),IFERROR(INDEX(ShiftKnowledge!$F$2:$F$9,MATCH($B383&amp;"|"&amp;$D383,ShiftKnowledge!$A$2:$A$9,0)),"")))</f>
        <v/>
      </c>
      <c r="J383" s="4">
        <f>IF($D383="Custom","",IFERROR(XLOOKUP($B383&amp;"|"&amp;$D383,ShiftKnowledge!$A$2:$A$9,ShiftKnowledge!$G$2:$G$9,""),IFERROR(INDEX(ShiftKnowledge!$G$2:$G$9,MATCH($B383&amp;"|"&amp;$D383,ShiftKnowledge!$A$2:$A$9,0)),"")))</f>
        <v/>
      </c>
      <c r="K383" s="4">
        <f>IF($D383="Custom","",IFERROR(XLOOKUP($B383&amp;"|"&amp;$D383,ShiftKnowledge!$A$2:$A$9,ShiftKnowledge!$H$2:$H$9,""),IFERROR(INDEX(ShiftKnowledge!$H$2:$H$9,MATCH($B383&amp;"|"&amp;$D383,ShiftKnowledge!$A$2:$A$9,0)),"")))</f>
        <v/>
      </c>
      <c r="L383" s="4">
        <f>IF($D383="Custom","",IFERROR(XLOOKUP($B383&amp;"|"&amp;$D383,ShiftKnowledge!$A$2:$A$9,ShiftKnowledge!$I$2:$I$9,""),IFERROR(INDEX(ShiftKnowledge!$I$2:$I$9,MATCH($B383&amp;"|"&amp;$D383,ShiftKnowledge!$A$2:$A$9,0)),"")))</f>
        <v/>
      </c>
      <c r="M383" s="4" t="inlineStr"/>
    </row>
    <row r="384" ht="20" customHeight="1">
      <c r="A384" s="6" t="inlineStr">
        <is>
          <t>17/11/2025</t>
        </is>
      </c>
      <c r="B384" s="6" t="inlineStr">
        <is>
          <t>Ophthalmology</t>
        </is>
      </c>
      <c r="C384" s="7" t="inlineStr">
        <is>
          <t>Dr. Nafeesa Abdul Latheef</t>
        </is>
      </c>
      <c r="D384" s="6" t="inlineStr"/>
      <c r="E384" s="6">
        <f>IF($D384="Custom","",IFERROR(XLOOKUP($B384&amp;"|"&amp;$D384,ShiftKnowledge!$A$2:$A$9,ShiftKnowledge!$D$2:$D$9,""),IFERROR(INDEX(ShiftKnowledge!$D$2:$D$9,MATCH($B384&amp;"|"&amp;$D384,ShiftKnowledge!$A$2:$A$9,0)),"")))</f>
        <v/>
      </c>
      <c r="F384" s="6" t="inlineStr"/>
      <c r="G384" s="6">
        <f>IF(AND($I384="",$L384=""),"",IFERROR(VALUE($I384),0)+IFERROR(VALUE($L384),0))</f>
        <v/>
      </c>
      <c r="H384" s="6">
        <f>IF($D384="Custom","",IFERROR(XLOOKUP($B384&amp;"|"&amp;$D384,ShiftKnowledge!$A$2:$A$9,ShiftKnowledge!$E$2:$E$9,""),IFERROR(INDEX(ShiftKnowledge!$E$2:$E$9,MATCH($B384&amp;"|"&amp;$D384,ShiftKnowledge!$A$2:$A$9,0)),"")))</f>
        <v/>
      </c>
      <c r="I384" s="6">
        <f>IF($D384="Custom","",IFERROR(XLOOKUP($B384&amp;"|"&amp;$D384,ShiftKnowledge!$A$2:$A$9,ShiftKnowledge!$F$2:$F$9,""),IFERROR(INDEX(ShiftKnowledge!$F$2:$F$9,MATCH($B384&amp;"|"&amp;$D384,ShiftKnowledge!$A$2:$A$9,0)),"")))</f>
        <v/>
      </c>
      <c r="J384" s="6">
        <f>IF($D384="Custom","",IFERROR(XLOOKUP($B384&amp;"|"&amp;$D384,ShiftKnowledge!$A$2:$A$9,ShiftKnowledge!$G$2:$G$9,""),IFERROR(INDEX(ShiftKnowledge!$G$2:$G$9,MATCH($B384&amp;"|"&amp;$D384,ShiftKnowledge!$A$2:$A$9,0)),"")))</f>
        <v/>
      </c>
      <c r="K384" s="6">
        <f>IF($D384="Custom","",IFERROR(XLOOKUP($B384&amp;"|"&amp;$D384,ShiftKnowledge!$A$2:$A$9,ShiftKnowledge!$H$2:$H$9,""),IFERROR(INDEX(ShiftKnowledge!$H$2:$H$9,MATCH($B384&amp;"|"&amp;$D384,ShiftKnowledge!$A$2:$A$9,0)),"")))</f>
        <v/>
      </c>
      <c r="L384" s="6">
        <f>IF($D384="Custom","",IFERROR(XLOOKUP($B384&amp;"|"&amp;$D384,ShiftKnowledge!$A$2:$A$9,ShiftKnowledge!$I$2:$I$9,""),IFERROR(INDEX(ShiftKnowledge!$I$2:$I$9,MATCH($B384&amp;"|"&amp;$D384,ShiftKnowledge!$A$2:$A$9,0)),"")))</f>
        <v/>
      </c>
      <c r="M384" s="6" t="inlineStr"/>
    </row>
    <row r="385" ht="20" customHeight="1">
      <c r="A385" s="4" t="inlineStr">
        <is>
          <t>17/11/2025</t>
        </is>
      </c>
      <c r="B385" s="4" t="inlineStr">
        <is>
          <t>ENT</t>
        </is>
      </c>
      <c r="C385" s="5" t="inlineStr">
        <is>
          <t>Dr. Nishesh Raj Shrestha</t>
        </is>
      </c>
      <c r="D385" s="4" t="inlineStr"/>
      <c r="E385" s="4">
        <f>IF($D385="Custom","",IFERROR(XLOOKUP($B385&amp;"|"&amp;$D385,ShiftKnowledge!$A$2:$A$9,ShiftKnowledge!$D$2:$D$9,""),IFERROR(INDEX(ShiftKnowledge!$D$2:$D$9,MATCH($B385&amp;"|"&amp;$D385,ShiftKnowledge!$A$2:$A$9,0)),"")))</f>
        <v/>
      </c>
      <c r="F385" s="4" t="inlineStr"/>
      <c r="G385" s="4">
        <f>IF(AND($I385="",$L385=""),"",IFERROR(VALUE($I385),0)+IFERROR(VALUE($L385),0))</f>
        <v/>
      </c>
      <c r="H385" s="4">
        <f>IF($D385="Custom","",IFERROR(XLOOKUP($B385&amp;"|"&amp;$D385,ShiftKnowledge!$A$2:$A$9,ShiftKnowledge!$E$2:$E$9,""),IFERROR(INDEX(ShiftKnowledge!$E$2:$E$9,MATCH($B385&amp;"|"&amp;$D385,ShiftKnowledge!$A$2:$A$9,0)),"")))</f>
        <v/>
      </c>
      <c r="I385" s="4">
        <f>IF($D385="Custom","",IFERROR(XLOOKUP($B385&amp;"|"&amp;$D385,ShiftKnowledge!$A$2:$A$9,ShiftKnowledge!$F$2:$F$9,""),IFERROR(INDEX(ShiftKnowledge!$F$2:$F$9,MATCH($B385&amp;"|"&amp;$D385,ShiftKnowledge!$A$2:$A$9,0)),"")))</f>
        <v/>
      </c>
      <c r="J385" s="4">
        <f>IF($D385="Custom","",IFERROR(XLOOKUP($B385&amp;"|"&amp;$D385,ShiftKnowledge!$A$2:$A$9,ShiftKnowledge!$G$2:$G$9,""),IFERROR(INDEX(ShiftKnowledge!$G$2:$G$9,MATCH($B385&amp;"|"&amp;$D385,ShiftKnowledge!$A$2:$A$9,0)),"")))</f>
        <v/>
      </c>
      <c r="K385" s="4">
        <f>IF($D385="Custom","",IFERROR(XLOOKUP($B385&amp;"|"&amp;$D385,ShiftKnowledge!$A$2:$A$9,ShiftKnowledge!$H$2:$H$9,""),IFERROR(INDEX(ShiftKnowledge!$H$2:$H$9,MATCH($B385&amp;"|"&amp;$D385,ShiftKnowledge!$A$2:$A$9,0)),"")))</f>
        <v/>
      </c>
      <c r="L385" s="4">
        <f>IF($D385="Custom","",IFERROR(XLOOKUP($B385&amp;"|"&amp;$D385,ShiftKnowledge!$A$2:$A$9,ShiftKnowledge!$I$2:$I$9,""),IFERROR(INDEX(ShiftKnowledge!$I$2:$I$9,MATCH($B385&amp;"|"&amp;$D385,ShiftKnowledge!$A$2:$A$9,0)),"")))</f>
        <v/>
      </c>
      <c r="M385" s="4" t="inlineStr"/>
    </row>
    <row r="386" ht="20" customHeight="1">
      <c r="A386" s="6" t="inlineStr">
        <is>
          <t>17/11/2025</t>
        </is>
      </c>
      <c r="B386" s="6" t="inlineStr">
        <is>
          <t>ENT</t>
        </is>
      </c>
      <c r="C386" s="7" t="inlineStr">
        <is>
          <t>Dr. Rachit Pokharel</t>
        </is>
      </c>
      <c r="D386" s="6" t="inlineStr"/>
      <c r="E386" s="6">
        <f>IF($D386="Custom","",IFERROR(XLOOKUP($B386&amp;"|"&amp;$D386,ShiftKnowledge!$A$2:$A$9,ShiftKnowledge!$D$2:$D$9,""),IFERROR(INDEX(ShiftKnowledge!$D$2:$D$9,MATCH($B386&amp;"|"&amp;$D386,ShiftKnowledge!$A$2:$A$9,0)),"")))</f>
        <v/>
      </c>
      <c r="F386" s="6" t="inlineStr"/>
      <c r="G386" s="6">
        <f>IF(AND($I386="",$L386=""),"",IFERROR(VALUE($I386),0)+IFERROR(VALUE($L386),0))</f>
        <v/>
      </c>
      <c r="H386" s="6">
        <f>IF($D386="Custom","",IFERROR(XLOOKUP($B386&amp;"|"&amp;$D386,ShiftKnowledge!$A$2:$A$9,ShiftKnowledge!$E$2:$E$9,""),IFERROR(INDEX(ShiftKnowledge!$E$2:$E$9,MATCH($B386&amp;"|"&amp;$D386,ShiftKnowledge!$A$2:$A$9,0)),"")))</f>
        <v/>
      </c>
      <c r="I386" s="6">
        <f>IF($D386="Custom","",IFERROR(XLOOKUP($B386&amp;"|"&amp;$D386,ShiftKnowledge!$A$2:$A$9,ShiftKnowledge!$F$2:$F$9,""),IFERROR(INDEX(ShiftKnowledge!$F$2:$F$9,MATCH($B386&amp;"|"&amp;$D386,ShiftKnowledge!$A$2:$A$9,0)),"")))</f>
        <v/>
      </c>
      <c r="J386" s="6">
        <f>IF($D386="Custom","",IFERROR(XLOOKUP($B386&amp;"|"&amp;$D386,ShiftKnowledge!$A$2:$A$9,ShiftKnowledge!$G$2:$G$9,""),IFERROR(INDEX(ShiftKnowledge!$G$2:$G$9,MATCH($B386&amp;"|"&amp;$D386,ShiftKnowledge!$A$2:$A$9,0)),"")))</f>
        <v/>
      </c>
      <c r="K386" s="6">
        <f>IF($D386="Custom","",IFERROR(XLOOKUP($B386&amp;"|"&amp;$D386,ShiftKnowledge!$A$2:$A$9,ShiftKnowledge!$H$2:$H$9,""),IFERROR(INDEX(ShiftKnowledge!$H$2:$H$9,MATCH($B386&amp;"|"&amp;$D386,ShiftKnowledge!$A$2:$A$9,0)),"")))</f>
        <v/>
      </c>
      <c r="L386" s="6">
        <f>IF($D386="Custom","",IFERROR(XLOOKUP($B386&amp;"|"&amp;$D386,ShiftKnowledge!$A$2:$A$9,ShiftKnowledge!$I$2:$I$9,""),IFERROR(INDEX(ShiftKnowledge!$I$2:$I$9,MATCH($B386&amp;"|"&amp;$D386,ShiftKnowledge!$A$2:$A$9,0)),"")))</f>
        <v/>
      </c>
      <c r="M386" s="6" t="inlineStr"/>
    </row>
    <row r="387" ht="20" customHeight="1">
      <c r="A387" s="4" t="inlineStr">
        <is>
          <t>17/11/2025</t>
        </is>
      </c>
      <c r="B387" s="4" t="inlineStr">
        <is>
          <t>Ophthalmology</t>
        </is>
      </c>
      <c r="C387" s="5" t="inlineStr">
        <is>
          <t>Dr. Remon Girgis Lamee Girgis</t>
        </is>
      </c>
      <c r="D387" s="4" t="inlineStr"/>
      <c r="E387" s="4">
        <f>IF($D387="Custom","",IFERROR(XLOOKUP($B387&amp;"|"&amp;$D387,ShiftKnowledge!$A$2:$A$9,ShiftKnowledge!$D$2:$D$9,""),IFERROR(INDEX(ShiftKnowledge!$D$2:$D$9,MATCH($B387&amp;"|"&amp;$D387,ShiftKnowledge!$A$2:$A$9,0)),"")))</f>
        <v/>
      </c>
      <c r="F387" s="4" t="inlineStr"/>
      <c r="G387" s="4">
        <f>IF(AND($I387="",$L387=""),"",IFERROR(VALUE($I387),0)+IFERROR(VALUE($L387),0))</f>
        <v/>
      </c>
      <c r="H387" s="4">
        <f>IF($D387="Custom","",IFERROR(XLOOKUP($B387&amp;"|"&amp;$D387,ShiftKnowledge!$A$2:$A$9,ShiftKnowledge!$E$2:$E$9,""),IFERROR(INDEX(ShiftKnowledge!$E$2:$E$9,MATCH($B387&amp;"|"&amp;$D387,ShiftKnowledge!$A$2:$A$9,0)),"")))</f>
        <v/>
      </c>
      <c r="I387" s="4">
        <f>IF($D387="Custom","",IFERROR(XLOOKUP($B387&amp;"|"&amp;$D387,ShiftKnowledge!$A$2:$A$9,ShiftKnowledge!$F$2:$F$9,""),IFERROR(INDEX(ShiftKnowledge!$F$2:$F$9,MATCH($B387&amp;"|"&amp;$D387,ShiftKnowledge!$A$2:$A$9,0)),"")))</f>
        <v/>
      </c>
      <c r="J387" s="4">
        <f>IF($D387="Custom","",IFERROR(XLOOKUP($B387&amp;"|"&amp;$D387,ShiftKnowledge!$A$2:$A$9,ShiftKnowledge!$G$2:$G$9,""),IFERROR(INDEX(ShiftKnowledge!$G$2:$G$9,MATCH($B387&amp;"|"&amp;$D387,ShiftKnowledge!$A$2:$A$9,0)),"")))</f>
        <v/>
      </c>
      <c r="K387" s="4">
        <f>IF($D387="Custom","",IFERROR(XLOOKUP($B387&amp;"|"&amp;$D387,ShiftKnowledge!$A$2:$A$9,ShiftKnowledge!$H$2:$H$9,""),IFERROR(INDEX(ShiftKnowledge!$H$2:$H$9,MATCH($B387&amp;"|"&amp;$D387,ShiftKnowledge!$A$2:$A$9,0)),"")))</f>
        <v/>
      </c>
      <c r="L387" s="4">
        <f>IF($D387="Custom","",IFERROR(XLOOKUP($B387&amp;"|"&amp;$D387,ShiftKnowledge!$A$2:$A$9,ShiftKnowledge!$I$2:$I$9,""),IFERROR(INDEX(ShiftKnowledge!$I$2:$I$9,MATCH($B387&amp;"|"&amp;$D387,ShiftKnowledge!$A$2:$A$9,0)),"")))</f>
        <v/>
      </c>
      <c r="M387" s="4" t="inlineStr"/>
    </row>
    <row r="388" ht="20" customHeight="1">
      <c r="A388" s="6" t="inlineStr">
        <is>
          <t>17/11/2025</t>
        </is>
      </c>
      <c r="B388" s="6" t="inlineStr">
        <is>
          <t>Paediatrics</t>
        </is>
      </c>
      <c r="C388" s="7" t="inlineStr">
        <is>
          <t>Dr. Roshan Kumar Dikshit</t>
        </is>
      </c>
      <c r="D388" s="6" t="inlineStr"/>
      <c r="E388" s="6">
        <f>IF($D388="Custom","",IFERROR(XLOOKUP($B388&amp;"|"&amp;$D388,ShiftKnowledge!$A$2:$A$9,ShiftKnowledge!$D$2:$D$9,""),IFERROR(INDEX(ShiftKnowledge!$D$2:$D$9,MATCH($B388&amp;"|"&amp;$D388,ShiftKnowledge!$A$2:$A$9,0)),"")))</f>
        <v/>
      </c>
      <c r="F388" s="6" t="inlineStr"/>
      <c r="G388" s="6">
        <f>IF(AND($I388="",$L388=""),"",IFERROR(VALUE($I388),0)+IFERROR(VALUE($L388),0))</f>
        <v/>
      </c>
      <c r="H388" s="6">
        <f>IF($D388="Custom","",IFERROR(XLOOKUP($B388&amp;"|"&amp;$D388,ShiftKnowledge!$A$2:$A$9,ShiftKnowledge!$E$2:$E$9,""),IFERROR(INDEX(ShiftKnowledge!$E$2:$E$9,MATCH($B388&amp;"|"&amp;$D388,ShiftKnowledge!$A$2:$A$9,0)),"")))</f>
        <v/>
      </c>
      <c r="I388" s="6">
        <f>IF($D388="Custom","",IFERROR(XLOOKUP($B388&amp;"|"&amp;$D388,ShiftKnowledge!$A$2:$A$9,ShiftKnowledge!$F$2:$F$9,""),IFERROR(INDEX(ShiftKnowledge!$F$2:$F$9,MATCH($B388&amp;"|"&amp;$D388,ShiftKnowledge!$A$2:$A$9,0)),"")))</f>
        <v/>
      </c>
      <c r="J388" s="6">
        <f>IF($D388="Custom","",IFERROR(XLOOKUP($B388&amp;"|"&amp;$D388,ShiftKnowledge!$A$2:$A$9,ShiftKnowledge!$G$2:$G$9,""),IFERROR(INDEX(ShiftKnowledge!$G$2:$G$9,MATCH($B388&amp;"|"&amp;$D388,ShiftKnowledge!$A$2:$A$9,0)),"")))</f>
        <v/>
      </c>
      <c r="K388" s="6">
        <f>IF($D388="Custom","",IFERROR(XLOOKUP($B388&amp;"|"&amp;$D388,ShiftKnowledge!$A$2:$A$9,ShiftKnowledge!$H$2:$H$9,""),IFERROR(INDEX(ShiftKnowledge!$H$2:$H$9,MATCH($B388&amp;"|"&amp;$D388,ShiftKnowledge!$A$2:$A$9,0)),"")))</f>
        <v/>
      </c>
      <c r="L388" s="6">
        <f>IF($D388="Custom","",IFERROR(XLOOKUP($B388&amp;"|"&amp;$D388,ShiftKnowledge!$A$2:$A$9,ShiftKnowledge!$I$2:$I$9,""),IFERROR(INDEX(ShiftKnowledge!$I$2:$I$9,MATCH($B388&amp;"|"&amp;$D388,ShiftKnowledge!$A$2:$A$9,0)),"")))</f>
        <v/>
      </c>
      <c r="M388" s="6" t="inlineStr"/>
    </row>
    <row r="389" ht="20" customHeight="1">
      <c r="A389" s="4" t="inlineStr">
        <is>
          <t>17/11/2025</t>
        </is>
      </c>
      <c r="B389" s="4" t="inlineStr">
        <is>
          <t>Ophthalmology</t>
        </is>
      </c>
      <c r="C389" s="5" t="inlineStr">
        <is>
          <t>Dr. Roxy Devi Chirom</t>
        </is>
      </c>
      <c r="D389" s="4" t="inlineStr"/>
      <c r="E389" s="4">
        <f>IF($D389="Custom","",IFERROR(XLOOKUP($B389&amp;"|"&amp;$D389,ShiftKnowledge!$A$2:$A$9,ShiftKnowledge!$D$2:$D$9,""),IFERROR(INDEX(ShiftKnowledge!$D$2:$D$9,MATCH($B389&amp;"|"&amp;$D389,ShiftKnowledge!$A$2:$A$9,0)),"")))</f>
        <v/>
      </c>
      <c r="F389" s="4" t="inlineStr"/>
      <c r="G389" s="4">
        <f>IF(AND($I389="",$L389=""),"",IFERROR(VALUE($I389),0)+IFERROR(VALUE($L389),0))</f>
        <v/>
      </c>
      <c r="H389" s="4">
        <f>IF($D389="Custom","",IFERROR(XLOOKUP($B389&amp;"|"&amp;$D389,ShiftKnowledge!$A$2:$A$9,ShiftKnowledge!$E$2:$E$9,""),IFERROR(INDEX(ShiftKnowledge!$E$2:$E$9,MATCH($B389&amp;"|"&amp;$D389,ShiftKnowledge!$A$2:$A$9,0)),"")))</f>
        <v/>
      </c>
      <c r="I389" s="4">
        <f>IF($D389="Custom","",IFERROR(XLOOKUP($B389&amp;"|"&amp;$D389,ShiftKnowledge!$A$2:$A$9,ShiftKnowledge!$F$2:$F$9,""),IFERROR(INDEX(ShiftKnowledge!$F$2:$F$9,MATCH($B389&amp;"|"&amp;$D389,ShiftKnowledge!$A$2:$A$9,0)),"")))</f>
        <v/>
      </c>
      <c r="J389" s="4">
        <f>IF($D389="Custom","",IFERROR(XLOOKUP($B389&amp;"|"&amp;$D389,ShiftKnowledge!$A$2:$A$9,ShiftKnowledge!$G$2:$G$9,""),IFERROR(INDEX(ShiftKnowledge!$G$2:$G$9,MATCH($B389&amp;"|"&amp;$D389,ShiftKnowledge!$A$2:$A$9,0)),"")))</f>
        <v/>
      </c>
      <c r="K389" s="4">
        <f>IF($D389="Custom","",IFERROR(XLOOKUP($B389&amp;"|"&amp;$D389,ShiftKnowledge!$A$2:$A$9,ShiftKnowledge!$H$2:$H$9,""),IFERROR(INDEX(ShiftKnowledge!$H$2:$H$9,MATCH($B389&amp;"|"&amp;$D389,ShiftKnowledge!$A$2:$A$9,0)),"")))</f>
        <v/>
      </c>
      <c r="L389" s="4">
        <f>IF($D389="Custom","",IFERROR(XLOOKUP($B389&amp;"|"&amp;$D389,ShiftKnowledge!$A$2:$A$9,ShiftKnowledge!$I$2:$I$9,""),IFERROR(INDEX(ShiftKnowledge!$I$2:$I$9,MATCH($B389&amp;"|"&amp;$D389,ShiftKnowledge!$A$2:$A$9,0)),"")))</f>
        <v/>
      </c>
      <c r="M389" s="4" t="inlineStr"/>
    </row>
    <row r="390" ht="20" customHeight="1">
      <c r="A390" s="6" t="inlineStr">
        <is>
          <t>17/11/2025</t>
        </is>
      </c>
      <c r="B390" s="6" t="inlineStr">
        <is>
          <t>General Surgery</t>
        </is>
      </c>
      <c r="C390" s="7" t="inlineStr">
        <is>
          <t>Dr. Rubab Nafees</t>
        </is>
      </c>
      <c r="D390" s="6" t="inlineStr"/>
      <c r="E390" s="6">
        <f>IF($D390="Custom","",IFERROR(XLOOKUP($B390&amp;"|"&amp;$D390,ShiftKnowledge!$A$2:$A$9,ShiftKnowledge!$D$2:$D$9,""),IFERROR(INDEX(ShiftKnowledge!$D$2:$D$9,MATCH($B390&amp;"|"&amp;$D390,ShiftKnowledge!$A$2:$A$9,0)),"")))</f>
        <v/>
      </c>
      <c r="F390" s="6" t="inlineStr"/>
      <c r="G390" s="6">
        <f>IF(AND($I390="",$L390=""),"",IFERROR(VALUE($I390),0)+IFERROR(VALUE($L390),0))</f>
        <v/>
      </c>
      <c r="H390" s="6">
        <f>IF($D390="Custom","",IFERROR(XLOOKUP($B390&amp;"|"&amp;$D390,ShiftKnowledge!$A$2:$A$9,ShiftKnowledge!$E$2:$E$9,""),IFERROR(INDEX(ShiftKnowledge!$E$2:$E$9,MATCH($B390&amp;"|"&amp;$D390,ShiftKnowledge!$A$2:$A$9,0)),"")))</f>
        <v/>
      </c>
      <c r="I390" s="6">
        <f>IF($D390="Custom","",IFERROR(XLOOKUP($B390&amp;"|"&amp;$D390,ShiftKnowledge!$A$2:$A$9,ShiftKnowledge!$F$2:$F$9,""),IFERROR(INDEX(ShiftKnowledge!$F$2:$F$9,MATCH($B390&amp;"|"&amp;$D390,ShiftKnowledge!$A$2:$A$9,0)),"")))</f>
        <v/>
      </c>
      <c r="J390" s="6">
        <f>IF($D390="Custom","",IFERROR(XLOOKUP($B390&amp;"|"&amp;$D390,ShiftKnowledge!$A$2:$A$9,ShiftKnowledge!$G$2:$G$9,""),IFERROR(INDEX(ShiftKnowledge!$G$2:$G$9,MATCH($B390&amp;"|"&amp;$D390,ShiftKnowledge!$A$2:$A$9,0)),"")))</f>
        <v/>
      </c>
      <c r="K390" s="6">
        <f>IF($D390="Custom","",IFERROR(XLOOKUP($B390&amp;"|"&amp;$D390,ShiftKnowledge!$A$2:$A$9,ShiftKnowledge!$H$2:$H$9,""),IFERROR(INDEX(ShiftKnowledge!$H$2:$H$9,MATCH($B390&amp;"|"&amp;$D390,ShiftKnowledge!$A$2:$A$9,0)),"")))</f>
        <v/>
      </c>
      <c r="L390" s="6">
        <f>IF($D390="Custom","",IFERROR(XLOOKUP($B390&amp;"|"&amp;$D390,ShiftKnowledge!$A$2:$A$9,ShiftKnowledge!$I$2:$I$9,""),IFERROR(INDEX(ShiftKnowledge!$I$2:$I$9,MATCH($B390&amp;"|"&amp;$D390,ShiftKnowledge!$A$2:$A$9,0)),"")))</f>
        <v/>
      </c>
      <c r="M390" s="6" t="inlineStr"/>
    </row>
    <row r="391" ht="20" customHeight="1">
      <c r="A391" s="4" t="inlineStr">
        <is>
          <t>17/11/2025</t>
        </is>
      </c>
      <c r="B391" s="4" t="inlineStr">
        <is>
          <t>Gynaecology</t>
        </is>
      </c>
      <c r="C391" s="5" t="inlineStr">
        <is>
          <t>Dr. Rubeena Badar Khan</t>
        </is>
      </c>
      <c r="D391" s="4" t="inlineStr"/>
      <c r="E391" s="4">
        <f>IF($D391="Custom","",IFERROR(XLOOKUP($B391&amp;"|"&amp;$D391,ShiftKnowledge!$A$2:$A$9,ShiftKnowledge!$D$2:$D$9,""),IFERROR(INDEX(ShiftKnowledge!$D$2:$D$9,MATCH($B391&amp;"|"&amp;$D391,ShiftKnowledge!$A$2:$A$9,0)),"")))</f>
        <v/>
      </c>
      <c r="F391" s="4" t="inlineStr"/>
      <c r="G391" s="4">
        <f>IF(AND($I391="",$L391=""),"",IFERROR(VALUE($I391),0)+IFERROR(VALUE($L391),0))</f>
        <v/>
      </c>
      <c r="H391" s="4">
        <f>IF($D391="Custom","",IFERROR(XLOOKUP($B391&amp;"|"&amp;$D391,ShiftKnowledge!$A$2:$A$9,ShiftKnowledge!$E$2:$E$9,""),IFERROR(INDEX(ShiftKnowledge!$E$2:$E$9,MATCH($B391&amp;"|"&amp;$D391,ShiftKnowledge!$A$2:$A$9,0)),"")))</f>
        <v/>
      </c>
      <c r="I391" s="4">
        <f>IF($D391="Custom","",IFERROR(XLOOKUP($B391&amp;"|"&amp;$D391,ShiftKnowledge!$A$2:$A$9,ShiftKnowledge!$F$2:$F$9,""),IFERROR(INDEX(ShiftKnowledge!$F$2:$F$9,MATCH($B391&amp;"|"&amp;$D391,ShiftKnowledge!$A$2:$A$9,0)),"")))</f>
        <v/>
      </c>
      <c r="J391" s="4">
        <f>IF($D391="Custom","",IFERROR(XLOOKUP($B391&amp;"|"&amp;$D391,ShiftKnowledge!$A$2:$A$9,ShiftKnowledge!$G$2:$G$9,""),IFERROR(INDEX(ShiftKnowledge!$G$2:$G$9,MATCH($B391&amp;"|"&amp;$D391,ShiftKnowledge!$A$2:$A$9,0)),"")))</f>
        <v/>
      </c>
      <c r="K391" s="4">
        <f>IF($D391="Custom","",IFERROR(XLOOKUP($B391&amp;"|"&amp;$D391,ShiftKnowledge!$A$2:$A$9,ShiftKnowledge!$H$2:$H$9,""),IFERROR(INDEX(ShiftKnowledge!$H$2:$H$9,MATCH($B391&amp;"|"&amp;$D391,ShiftKnowledge!$A$2:$A$9,0)),"")))</f>
        <v/>
      </c>
      <c r="L391" s="4">
        <f>IF($D391="Custom","",IFERROR(XLOOKUP($B391&amp;"|"&amp;$D391,ShiftKnowledge!$A$2:$A$9,ShiftKnowledge!$I$2:$I$9,""),IFERROR(INDEX(ShiftKnowledge!$I$2:$I$9,MATCH($B391&amp;"|"&amp;$D391,ShiftKnowledge!$A$2:$A$9,0)),"")))</f>
        <v/>
      </c>
      <c r="M391" s="4" t="inlineStr"/>
    </row>
    <row r="392" ht="20" customHeight="1">
      <c r="A392" s="6" t="inlineStr">
        <is>
          <t>17/11/2025</t>
        </is>
      </c>
      <c r="B392" s="6" t="inlineStr">
        <is>
          <t>Dental</t>
        </is>
      </c>
      <c r="C392" s="7" t="inlineStr">
        <is>
          <t>Dr. Safa Abdul Gayyoom</t>
        </is>
      </c>
      <c r="D392" s="6" t="inlineStr"/>
      <c r="E392" s="6">
        <f>IF($D392="Custom","",IFERROR(XLOOKUP($B392&amp;"|"&amp;$D392,ShiftKnowledge!$A$2:$A$9,ShiftKnowledge!$D$2:$D$9,""),IFERROR(INDEX(ShiftKnowledge!$D$2:$D$9,MATCH($B392&amp;"|"&amp;$D392,ShiftKnowledge!$A$2:$A$9,0)),"")))</f>
        <v/>
      </c>
      <c r="F392" s="6" t="inlineStr"/>
      <c r="G392" s="6">
        <f>IF(AND($I392="",$L392=""),"",IFERROR(VALUE($I392),0)+IFERROR(VALUE($L392),0))</f>
        <v/>
      </c>
      <c r="H392" s="6">
        <f>IF($D392="Custom","",IFERROR(XLOOKUP($B392&amp;"|"&amp;$D392,ShiftKnowledge!$A$2:$A$9,ShiftKnowledge!$E$2:$E$9,""),IFERROR(INDEX(ShiftKnowledge!$E$2:$E$9,MATCH($B392&amp;"|"&amp;$D392,ShiftKnowledge!$A$2:$A$9,0)),"")))</f>
        <v/>
      </c>
      <c r="I392" s="6">
        <f>IF($D392="Custom","",IFERROR(XLOOKUP($B392&amp;"|"&amp;$D392,ShiftKnowledge!$A$2:$A$9,ShiftKnowledge!$F$2:$F$9,""),IFERROR(INDEX(ShiftKnowledge!$F$2:$F$9,MATCH($B392&amp;"|"&amp;$D392,ShiftKnowledge!$A$2:$A$9,0)),"")))</f>
        <v/>
      </c>
      <c r="J392" s="6">
        <f>IF($D392="Custom","",IFERROR(XLOOKUP($B392&amp;"|"&amp;$D392,ShiftKnowledge!$A$2:$A$9,ShiftKnowledge!$G$2:$G$9,""),IFERROR(INDEX(ShiftKnowledge!$G$2:$G$9,MATCH($B392&amp;"|"&amp;$D392,ShiftKnowledge!$A$2:$A$9,0)),"")))</f>
        <v/>
      </c>
      <c r="K392" s="6">
        <f>IF($D392="Custom","",IFERROR(XLOOKUP($B392&amp;"|"&amp;$D392,ShiftKnowledge!$A$2:$A$9,ShiftKnowledge!$H$2:$H$9,""),IFERROR(INDEX(ShiftKnowledge!$H$2:$H$9,MATCH($B392&amp;"|"&amp;$D392,ShiftKnowledge!$A$2:$A$9,0)),"")))</f>
        <v/>
      </c>
      <c r="L392" s="6">
        <f>IF($D392="Custom","",IFERROR(XLOOKUP($B392&amp;"|"&amp;$D392,ShiftKnowledge!$A$2:$A$9,ShiftKnowledge!$I$2:$I$9,""),IFERROR(INDEX(ShiftKnowledge!$I$2:$I$9,MATCH($B392&amp;"|"&amp;$D392,ShiftKnowledge!$A$2:$A$9,0)),"")))</f>
        <v/>
      </c>
      <c r="M392" s="6" t="inlineStr"/>
    </row>
    <row r="393" ht="20" customHeight="1">
      <c r="A393" s="4" t="inlineStr">
        <is>
          <t>17/11/2025</t>
        </is>
      </c>
      <c r="B393" s="4" t="inlineStr">
        <is>
          <t>Internal Medicine</t>
        </is>
      </c>
      <c r="C393" s="5" t="inlineStr">
        <is>
          <t>Dr. Saroj Thapa</t>
        </is>
      </c>
      <c r="D393" s="4" t="inlineStr"/>
      <c r="E393" s="4">
        <f>IF($D393="Custom","",IFERROR(XLOOKUP($B393&amp;"|"&amp;$D393,ShiftKnowledge!$A$2:$A$9,ShiftKnowledge!$D$2:$D$9,""),IFERROR(INDEX(ShiftKnowledge!$D$2:$D$9,MATCH($B393&amp;"|"&amp;$D393,ShiftKnowledge!$A$2:$A$9,0)),"")))</f>
        <v/>
      </c>
      <c r="F393" s="4" t="inlineStr"/>
      <c r="G393" s="4">
        <f>IF(AND($I393="",$L393=""),"",IFERROR(VALUE($I393),0)+IFERROR(VALUE($L393),0))</f>
        <v/>
      </c>
      <c r="H393" s="4">
        <f>IF($D393="Custom","",IFERROR(XLOOKUP($B393&amp;"|"&amp;$D393,ShiftKnowledge!$A$2:$A$9,ShiftKnowledge!$E$2:$E$9,""),IFERROR(INDEX(ShiftKnowledge!$E$2:$E$9,MATCH($B393&amp;"|"&amp;$D393,ShiftKnowledge!$A$2:$A$9,0)),"")))</f>
        <v/>
      </c>
      <c r="I393" s="4">
        <f>IF($D393="Custom","",IFERROR(XLOOKUP($B393&amp;"|"&amp;$D393,ShiftKnowledge!$A$2:$A$9,ShiftKnowledge!$F$2:$F$9,""),IFERROR(INDEX(ShiftKnowledge!$F$2:$F$9,MATCH($B393&amp;"|"&amp;$D393,ShiftKnowledge!$A$2:$A$9,0)),"")))</f>
        <v/>
      </c>
      <c r="J393" s="4">
        <f>IF($D393="Custom","",IFERROR(XLOOKUP($B393&amp;"|"&amp;$D393,ShiftKnowledge!$A$2:$A$9,ShiftKnowledge!$G$2:$G$9,""),IFERROR(INDEX(ShiftKnowledge!$G$2:$G$9,MATCH($B393&amp;"|"&amp;$D393,ShiftKnowledge!$A$2:$A$9,0)),"")))</f>
        <v/>
      </c>
      <c r="K393" s="4">
        <f>IF($D393="Custom","",IFERROR(XLOOKUP($B393&amp;"|"&amp;$D393,ShiftKnowledge!$A$2:$A$9,ShiftKnowledge!$H$2:$H$9,""),IFERROR(INDEX(ShiftKnowledge!$H$2:$H$9,MATCH($B393&amp;"|"&amp;$D393,ShiftKnowledge!$A$2:$A$9,0)),"")))</f>
        <v/>
      </c>
      <c r="L393" s="4">
        <f>IF($D393="Custom","",IFERROR(XLOOKUP($B393&amp;"|"&amp;$D393,ShiftKnowledge!$A$2:$A$9,ShiftKnowledge!$I$2:$I$9,""),IFERROR(INDEX(ShiftKnowledge!$I$2:$I$9,MATCH($B393&amp;"|"&amp;$D393,ShiftKnowledge!$A$2:$A$9,0)),"")))</f>
        <v/>
      </c>
      <c r="M393" s="4" t="inlineStr"/>
    </row>
    <row r="394" ht="20" customHeight="1">
      <c r="A394" s="6" t="inlineStr">
        <is>
          <t>17/11/2025</t>
        </is>
      </c>
      <c r="B394" s="6" t="inlineStr">
        <is>
          <t>General Surgery</t>
        </is>
      </c>
      <c r="C394" s="7" t="inlineStr">
        <is>
          <t>Dr. Su Mon Kyaw</t>
        </is>
      </c>
      <c r="D394" s="6" t="inlineStr"/>
      <c r="E394" s="6">
        <f>IF($D394="Custom","",IFERROR(XLOOKUP($B394&amp;"|"&amp;$D394,ShiftKnowledge!$A$2:$A$9,ShiftKnowledge!$D$2:$D$9,""),IFERROR(INDEX(ShiftKnowledge!$D$2:$D$9,MATCH($B394&amp;"|"&amp;$D394,ShiftKnowledge!$A$2:$A$9,0)),"")))</f>
        <v/>
      </c>
      <c r="F394" s="6" t="inlineStr"/>
      <c r="G394" s="6">
        <f>IF(AND($I394="",$L394=""),"",IFERROR(VALUE($I394),0)+IFERROR(VALUE($L394),0))</f>
        <v/>
      </c>
      <c r="H394" s="6">
        <f>IF($D394="Custom","",IFERROR(XLOOKUP($B394&amp;"|"&amp;$D394,ShiftKnowledge!$A$2:$A$9,ShiftKnowledge!$E$2:$E$9,""),IFERROR(INDEX(ShiftKnowledge!$E$2:$E$9,MATCH($B394&amp;"|"&amp;$D394,ShiftKnowledge!$A$2:$A$9,0)),"")))</f>
        <v/>
      </c>
      <c r="I394" s="6">
        <f>IF($D394="Custom","",IFERROR(XLOOKUP($B394&amp;"|"&amp;$D394,ShiftKnowledge!$A$2:$A$9,ShiftKnowledge!$F$2:$F$9,""),IFERROR(INDEX(ShiftKnowledge!$F$2:$F$9,MATCH($B394&amp;"|"&amp;$D394,ShiftKnowledge!$A$2:$A$9,0)),"")))</f>
        <v/>
      </c>
      <c r="J394" s="6">
        <f>IF($D394="Custom","",IFERROR(XLOOKUP($B394&amp;"|"&amp;$D394,ShiftKnowledge!$A$2:$A$9,ShiftKnowledge!$G$2:$G$9,""),IFERROR(INDEX(ShiftKnowledge!$G$2:$G$9,MATCH($B394&amp;"|"&amp;$D394,ShiftKnowledge!$A$2:$A$9,0)),"")))</f>
        <v/>
      </c>
      <c r="K394" s="6">
        <f>IF($D394="Custom","",IFERROR(XLOOKUP($B394&amp;"|"&amp;$D394,ShiftKnowledge!$A$2:$A$9,ShiftKnowledge!$H$2:$H$9,""),IFERROR(INDEX(ShiftKnowledge!$H$2:$H$9,MATCH($B394&amp;"|"&amp;$D394,ShiftKnowledge!$A$2:$A$9,0)),"")))</f>
        <v/>
      </c>
      <c r="L394" s="6">
        <f>IF($D394="Custom","",IFERROR(XLOOKUP($B394&amp;"|"&amp;$D394,ShiftKnowledge!$A$2:$A$9,ShiftKnowledge!$I$2:$I$9,""),IFERROR(INDEX(ShiftKnowledge!$I$2:$I$9,MATCH($B394&amp;"|"&amp;$D394,ShiftKnowledge!$A$2:$A$9,0)),"")))</f>
        <v/>
      </c>
      <c r="M394" s="6" t="inlineStr"/>
    </row>
    <row r="395" ht="20" customHeight="1">
      <c r="A395" s="4" t="inlineStr">
        <is>
          <t>17/11/2025</t>
        </is>
      </c>
      <c r="B395" s="4" t="inlineStr">
        <is>
          <t>Internal Medicine</t>
        </is>
      </c>
      <c r="C395" s="5" t="inlineStr">
        <is>
          <t>Dr. Sumretee</t>
        </is>
      </c>
      <c r="D395" s="4" t="inlineStr"/>
      <c r="E395" s="4">
        <f>IF($D395="Custom","",IFERROR(XLOOKUP($B395&amp;"|"&amp;$D395,ShiftKnowledge!$A$2:$A$9,ShiftKnowledge!$D$2:$D$9,""),IFERROR(INDEX(ShiftKnowledge!$D$2:$D$9,MATCH($B395&amp;"|"&amp;$D395,ShiftKnowledge!$A$2:$A$9,0)),"")))</f>
        <v/>
      </c>
      <c r="F395" s="4" t="inlineStr"/>
      <c r="G395" s="4">
        <f>IF(AND($I395="",$L395=""),"",IFERROR(VALUE($I395),0)+IFERROR(VALUE($L395),0))</f>
        <v/>
      </c>
      <c r="H395" s="4">
        <f>IF($D395="Custom","",IFERROR(XLOOKUP($B395&amp;"|"&amp;$D395,ShiftKnowledge!$A$2:$A$9,ShiftKnowledge!$E$2:$E$9,""),IFERROR(INDEX(ShiftKnowledge!$E$2:$E$9,MATCH($B395&amp;"|"&amp;$D395,ShiftKnowledge!$A$2:$A$9,0)),"")))</f>
        <v/>
      </c>
      <c r="I395" s="4">
        <f>IF($D395="Custom","",IFERROR(XLOOKUP($B395&amp;"|"&amp;$D395,ShiftKnowledge!$A$2:$A$9,ShiftKnowledge!$F$2:$F$9,""),IFERROR(INDEX(ShiftKnowledge!$F$2:$F$9,MATCH($B395&amp;"|"&amp;$D395,ShiftKnowledge!$A$2:$A$9,0)),"")))</f>
        <v/>
      </c>
      <c r="J395" s="4">
        <f>IF($D395="Custom","",IFERROR(XLOOKUP($B395&amp;"|"&amp;$D395,ShiftKnowledge!$A$2:$A$9,ShiftKnowledge!$G$2:$G$9,""),IFERROR(INDEX(ShiftKnowledge!$G$2:$G$9,MATCH($B395&amp;"|"&amp;$D395,ShiftKnowledge!$A$2:$A$9,0)),"")))</f>
        <v/>
      </c>
      <c r="K395" s="4">
        <f>IF($D395="Custom","",IFERROR(XLOOKUP($B395&amp;"|"&amp;$D395,ShiftKnowledge!$A$2:$A$9,ShiftKnowledge!$H$2:$H$9,""),IFERROR(INDEX(ShiftKnowledge!$H$2:$H$9,MATCH($B395&amp;"|"&amp;$D395,ShiftKnowledge!$A$2:$A$9,0)),"")))</f>
        <v/>
      </c>
      <c r="L395" s="4">
        <f>IF($D395="Custom","",IFERROR(XLOOKUP($B395&amp;"|"&amp;$D395,ShiftKnowledge!$A$2:$A$9,ShiftKnowledge!$I$2:$I$9,""),IFERROR(INDEX(ShiftKnowledge!$I$2:$I$9,MATCH($B395&amp;"|"&amp;$D395,ShiftKnowledge!$A$2:$A$9,0)),"")))</f>
        <v/>
      </c>
      <c r="M395" s="4" t="inlineStr"/>
    </row>
    <row r="396" ht="20" customHeight="1">
      <c r="A396" s="6" t="inlineStr">
        <is>
          <t>17/11/2025</t>
        </is>
      </c>
      <c r="B396" s="6" t="inlineStr">
        <is>
          <t>Orthopaedics</t>
        </is>
      </c>
      <c r="C396" s="7" t="inlineStr">
        <is>
          <t>Dr. Vinod Ramlal</t>
        </is>
      </c>
      <c r="D396" s="6" t="inlineStr"/>
      <c r="E396" s="6">
        <f>IF($D396="Custom","",IFERROR(XLOOKUP($B396&amp;"|"&amp;$D396,ShiftKnowledge!$A$2:$A$9,ShiftKnowledge!$D$2:$D$9,""),IFERROR(INDEX(ShiftKnowledge!$D$2:$D$9,MATCH($B396&amp;"|"&amp;$D396,ShiftKnowledge!$A$2:$A$9,0)),"")))</f>
        <v/>
      </c>
      <c r="F396" s="6" t="inlineStr"/>
      <c r="G396" s="6">
        <f>IF(AND($I396="",$L396=""),"",IFERROR(VALUE($I396),0)+IFERROR(VALUE($L396),0))</f>
        <v/>
      </c>
      <c r="H396" s="6">
        <f>IF($D396="Custom","",IFERROR(XLOOKUP($B396&amp;"|"&amp;$D396,ShiftKnowledge!$A$2:$A$9,ShiftKnowledge!$E$2:$E$9,""),IFERROR(INDEX(ShiftKnowledge!$E$2:$E$9,MATCH($B396&amp;"|"&amp;$D396,ShiftKnowledge!$A$2:$A$9,0)),"")))</f>
        <v/>
      </c>
      <c r="I396" s="6">
        <f>IF($D396="Custom","",IFERROR(XLOOKUP($B396&amp;"|"&amp;$D396,ShiftKnowledge!$A$2:$A$9,ShiftKnowledge!$F$2:$F$9,""),IFERROR(INDEX(ShiftKnowledge!$F$2:$F$9,MATCH($B396&amp;"|"&amp;$D396,ShiftKnowledge!$A$2:$A$9,0)),"")))</f>
        <v/>
      </c>
      <c r="J396" s="6">
        <f>IF($D396="Custom","",IFERROR(XLOOKUP($B396&amp;"|"&amp;$D396,ShiftKnowledge!$A$2:$A$9,ShiftKnowledge!$G$2:$G$9,""),IFERROR(INDEX(ShiftKnowledge!$G$2:$G$9,MATCH($B396&amp;"|"&amp;$D396,ShiftKnowledge!$A$2:$A$9,0)),"")))</f>
        <v/>
      </c>
      <c r="K396" s="6">
        <f>IF($D396="Custom","",IFERROR(XLOOKUP($B396&amp;"|"&amp;$D396,ShiftKnowledge!$A$2:$A$9,ShiftKnowledge!$H$2:$H$9,""),IFERROR(INDEX(ShiftKnowledge!$H$2:$H$9,MATCH($B396&amp;"|"&amp;$D396,ShiftKnowledge!$A$2:$A$9,0)),"")))</f>
        <v/>
      </c>
      <c r="L396" s="6">
        <f>IF($D396="Custom","",IFERROR(XLOOKUP($B396&amp;"|"&amp;$D396,ShiftKnowledge!$A$2:$A$9,ShiftKnowledge!$I$2:$I$9,""),IFERROR(INDEX(ShiftKnowledge!$I$2:$I$9,MATCH($B396&amp;"|"&amp;$D396,ShiftKnowledge!$A$2:$A$9,0)),"")))</f>
        <v/>
      </c>
      <c r="M396" s="6" t="inlineStr"/>
    </row>
    <row r="397" ht="20" customHeight="1">
      <c r="A397" s="4" t="inlineStr">
        <is>
          <t>17/11/2025</t>
        </is>
      </c>
      <c r="B397" s="4" t="inlineStr">
        <is>
          <t>Paediatrics</t>
        </is>
      </c>
      <c r="C397" s="5" t="inlineStr">
        <is>
          <t>Dr. Yi Nwe Soe</t>
        </is>
      </c>
      <c r="D397" s="4" t="inlineStr"/>
      <c r="E397" s="4">
        <f>IF($D397="Custom","",IFERROR(XLOOKUP($B397&amp;"|"&amp;$D397,ShiftKnowledge!$A$2:$A$9,ShiftKnowledge!$D$2:$D$9,""),IFERROR(INDEX(ShiftKnowledge!$D$2:$D$9,MATCH($B397&amp;"|"&amp;$D397,ShiftKnowledge!$A$2:$A$9,0)),"")))</f>
        <v/>
      </c>
      <c r="F397" s="4" t="inlineStr"/>
      <c r="G397" s="4">
        <f>IF(AND($I397="",$L397=""),"",IFERROR(VALUE($I397),0)+IFERROR(VALUE($L397),0))</f>
        <v/>
      </c>
      <c r="H397" s="4">
        <f>IF($D397="Custom","",IFERROR(XLOOKUP($B397&amp;"|"&amp;$D397,ShiftKnowledge!$A$2:$A$9,ShiftKnowledge!$E$2:$E$9,""),IFERROR(INDEX(ShiftKnowledge!$E$2:$E$9,MATCH($B397&amp;"|"&amp;$D397,ShiftKnowledge!$A$2:$A$9,0)),"")))</f>
        <v/>
      </c>
      <c r="I397" s="4">
        <f>IF($D397="Custom","",IFERROR(XLOOKUP($B397&amp;"|"&amp;$D397,ShiftKnowledge!$A$2:$A$9,ShiftKnowledge!$F$2:$F$9,""),IFERROR(INDEX(ShiftKnowledge!$F$2:$F$9,MATCH($B397&amp;"|"&amp;$D397,ShiftKnowledge!$A$2:$A$9,0)),"")))</f>
        <v/>
      </c>
      <c r="J397" s="4">
        <f>IF($D397="Custom","",IFERROR(XLOOKUP($B397&amp;"|"&amp;$D397,ShiftKnowledge!$A$2:$A$9,ShiftKnowledge!$G$2:$G$9,""),IFERROR(INDEX(ShiftKnowledge!$G$2:$G$9,MATCH($B397&amp;"|"&amp;$D397,ShiftKnowledge!$A$2:$A$9,0)),"")))</f>
        <v/>
      </c>
      <c r="K397" s="4">
        <f>IF($D397="Custom","",IFERROR(XLOOKUP($B397&amp;"|"&amp;$D397,ShiftKnowledge!$A$2:$A$9,ShiftKnowledge!$H$2:$H$9,""),IFERROR(INDEX(ShiftKnowledge!$H$2:$H$9,MATCH($B397&amp;"|"&amp;$D397,ShiftKnowledge!$A$2:$A$9,0)),"")))</f>
        <v/>
      </c>
      <c r="L397" s="4">
        <f>IF($D397="Custom","",IFERROR(XLOOKUP($B397&amp;"|"&amp;$D397,ShiftKnowledge!$A$2:$A$9,ShiftKnowledge!$I$2:$I$9,""),IFERROR(INDEX(ShiftKnowledge!$I$2:$I$9,MATCH($B397&amp;"|"&amp;$D397,ShiftKnowledge!$A$2:$A$9,0)),"")))</f>
        <v/>
      </c>
      <c r="M397" s="4" t="inlineStr"/>
    </row>
    <row r="398" ht="20" customHeight="1">
      <c r="A398" s="6" t="inlineStr">
        <is>
          <t>17/11/2025</t>
        </is>
      </c>
      <c r="B398" s="6" t="inlineStr">
        <is>
          <t>Gynaecology</t>
        </is>
      </c>
      <c r="C398" s="7" t="inlineStr">
        <is>
          <t>Dr. Zarina Kabilova</t>
        </is>
      </c>
      <c r="D398" s="6" t="inlineStr"/>
      <c r="E398" s="6">
        <f>IF($D398="Custom","",IFERROR(XLOOKUP($B398&amp;"|"&amp;$D398,ShiftKnowledge!$A$2:$A$9,ShiftKnowledge!$D$2:$D$9,""),IFERROR(INDEX(ShiftKnowledge!$D$2:$D$9,MATCH($B398&amp;"|"&amp;$D398,ShiftKnowledge!$A$2:$A$9,0)),"")))</f>
        <v/>
      </c>
      <c r="F398" s="6" t="inlineStr"/>
      <c r="G398" s="6">
        <f>IF(AND($I398="",$L398=""),"",IFERROR(VALUE($I398),0)+IFERROR(VALUE($L398),0))</f>
        <v/>
      </c>
      <c r="H398" s="6">
        <f>IF($D398="Custom","",IFERROR(XLOOKUP($B398&amp;"|"&amp;$D398,ShiftKnowledge!$A$2:$A$9,ShiftKnowledge!$E$2:$E$9,""),IFERROR(INDEX(ShiftKnowledge!$E$2:$E$9,MATCH($B398&amp;"|"&amp;$D398,ShiftKnowledge!$A$2:$A$9,0)),"")))</f>
        <v/>
      </c>
      <c r="I398" s="6">
        <f>IF($D398="Custom","",IFERROR(XLOOKUP($B398&amp;"|"&amp;$D398,ShiftKnowledge!$A$2:$A$9,ShiftKnowledge!$F$2:$F$9,""),IFERROR(INDEX(ShiftKnowledge!$F$2:$F$9,MATCH($B398&amp;"|"&amp;$D398,ShiftKnowledge!$A$2:$A$9,0)),"")))</f>
        <v/>
      </c>
      <c r="J398" s="6">
        <f>IF($D398="Custom","",IFERROR(XLOOKUP($B398&amp;"|"&amp;$D398,ShiftKnowledge!$A$2:$A$9,ShiftKnowledge!$G$2:$G$9,""),IFERROR(INDEX(ShiftKnowledge!$G$2:$G$9,MATCH($B398&amp;"|"&amp;$D398,ShiftKnowledge!$A$2:$A$9,0)),"")))</f>
        <v/>
      </c>
      <c r="K398" s="6">
        <f>IF($D398="Custom","",IFERROR(XLOOKUP($B398&amp;"|"&amp;$D398,ShiftKnowledge!$A$2:$A$9,ShiftKnowledge!$H$2:$H$9,""),IFERROR(INDEX(ShiftKnowledge!$H$2:$H$9,MATCH($B398&amp;"|"&amp;$D398,ShiftKnowledge!$A$2:$A$9,0)),"")))</f>
        <v/>
      </c>
      <c r="L398" s="6">
        <f>IF($D398="Custom","",IFERROR(XLOOKUP($B398&amp;"|"&amp;$D398,ShiftKnowledge!$A$2:$A$9,ShiftKnowledge!$I$2:$I$9,""),IFERROR(INDEX(ShiftKnowledge!$I$2:$I$9,MATCH($B398&amp;"|"&amp;$D398,ShiftKnowledge!$A$2:$A$9,0)),"")))</f>
        <v/>
      </c>
      <c r="M398" s="6" t="inlineStr"/>
    </row>
    <row r="399" ht="20" customHeight="1">
      <c r="A399" s="4" t="inlineStr">
        <is>
          <t>18/11/2025</t>
        </is>
      </c>
      <c r="B399" s="4" t="inlineStr">
        <is>
          <t>Orthopaedics</t>
        </is>
      </c>
      <c r="C399" s="5" t="inlineStr">
        <is>
          <t>Dr. Ahmed Azim Abdul Shakoor</t>
        </is>
      </c>
      <c r="D399" s="4" t="inlineStr"/>
      <c r="E399" s="4">
        <f>IF($D399="Custom","",IFERROR(XLOOKUP($B399&amp;"|"&amp;$D399,ShiftKnowledge!$A$2:$A$9,ShiftKnowledge!$D$2:$D$9,""),IFERROR(INDEX(ShiftKnowledge!$D$2:$D$9,MATCH($B399&amp;"|"&amp;$D399,ShiftKnowledge!$A$2:$A$9,0)),"")))</f>
        <v/>
      </c>
      <c r="F399" s="4" t="inlineStr"/>
      <c r="G399" s="4">
        <f>IF(AND($I399="",$L399=""),"",IFERROR(VALUE($I399),0)+IFERROR(VALUE($L399),0))</f>
        <v/>
      </c>
      <c r="H399" s="4">
        <f>IF($D399="Custom","",IFERROR(XLOOKUP($B399&amp;"|"&amp;$D399,ShiftKnowledge!$A$2:$A$9,ShiftKnowledge!$E$2:$E$9,""),IFERROR(INDEX(ShiftKnowledge!$E$2:$E$9,MATCH($B399&amp;"|"&amp;$D399,ShiftKnowledge!$A$2:$A$9,0)),"")))</f>
        <v/>
      </c>
      <c r="I399" s="4">
        <f>IF($D399="Custom","",IFERROR(XLOOKUP($B399&amp;"|"&amp;$D399,ShiftKnowledge!$A$2:$A$9,ShiftKnowledge!$F$2:$F$9,""),IFERROR(INDEX(ShiftKnowledge!$F$2:$F$9,MATCH($B399&amp;"|"&amp;$D399,ShiftKnowledge!$A$2:$A$9,0)),"")))</f>
        <v/>
      </c>
      <c r="J399" s="4">
        <f>IF($D399="Custom","",IFERROR(XLOOKUP($B399&amp;"|"&amp;$D399,ShiftKnowledge!$A$2:$A$9,ShiftKnowledge!$G$2:$G$9,""),IFERROR(INDEX(ShiftKnowledge!$G$2:$G$9,MATCH($B399&amp;"|"&amp;$D399,ShiftKnowledge!$A$2:$A$9,0)),"")))</f>
        <v/>
      </c>
      <c r="K399" s="4">
        <f>IF($D399="Custom","",IFERROR(XLOOKUP($B399&amp;"|"&amp;$D399,ShiftKnowledge!$A$2:$A$9,ShiftKnowledge!$H$2:$H$9,""),IFERROR(INDEX(ShiftKnowledge!$H$2:$H$9,MATCH($B399&amp;"|"&amp;$D399,ShiftKnowledge!$A$2:$A$9,0)),"")))</f>
        <v/>
      </c>
      <c r="L399" s="4">
        <f>IF($D399="Custom","",IFERROR(XLOOKUP($B399&amp;"|"&amp;$D399,ShiftKnowledge!$A$2:$A$9,ShiftKnowledge!$I$2:$I$9,""),IFERROR(INDEX(ShiftKnowledge!$I$2:$I$9,MATCH($B399&amp;"|"&amp;$D399,ShiftKnowledge!$A$2:$A$9,0)),"")))</f>
        <v/>
      </c>
      <c r="M399" s="4" t="inlineStr"/>
    </row>
    <row r="400" ht="20" customHeight="1">
      <c r="A400" s="6" t="inlineStr">
        <is>
          <t>18/11/2025</t>
        </is>
      </c>
      <c r="B400" s="6" t="inlineStr">
        <is>
          <t>Dermatology</t>
        </is>
      </c>
      <c r="C400" s="7" t="inlineStr">
        <is>
          <t>Dr. Ahmed Fekry Bahyeldin Khalafallah</t>
        </is>
      </c>
      <c r="D400" s="6" t="inlineStr"/>
      <c r="E400" s="6">
        <f>IF($D400="Custom","",IFERROR(XLOOKUP($B400&amp;"|"&amp;$D400,ShiftKnowledge!$A$2:$A$9,ShiftKnowledge!$D$2:$D$9,""),IFERROR(INDEX(ShiftKnowledge!$D$2:$D$9,MATCH($B400&amp;"|"&amp;$D400,ShiftKnowledge!$A$2:$A$9,0)),"")))</f>
        <v/>
      </c>
      <c r="F400" s="6" t="inlineStr"/>
      <c r="G400" s="6">
        <f>IF(AND($I400="",$L400=""),"",IFERROR(VALUE($I400),0)+IFERROR(VALUE($L400),0))</f>
        <v/>
      </c>
      <c r="H400" s="6">
        <f>IF($D400="Custom","",IFERROR(XLOOKUP($B400&amp;"|"&amp;$D400,ShiftKnowledge!$A$2:$A$9,ShiftKnowledge!$E$2:$E$9,""),IFERROR(INDEX(ShiftKnowledge!$E$2:$E$9,MATCH($B400&amp;"|"&amp;$D400,ShiftKnowledge!$A$2:$A$9,0)),"")))</f>
        <v/>
      </c>
      <c r="I400" s="6">
        <f>IF($D400="Custom","",IFERROR(XLOOKUP($B400&amp;"|"&amp;$D400,ShiftKnowledge!$A$2:$A$9,ShiftKnowledge!$F$2:$F$9,""),IFERROR(INDEX(ShiftKnowledge!$F$2:$F$9,MATCH($B400&amp;"|"&amp;$D400,ShiftKnowledge!$A$2:$A$9,0)),"")))</f>
        <v/>
      </c>
      <c r="J400" s="6">
        <f>IF($D400="Custom","",IFERROR(XLOOKUP($B400&amp;"|"&amp;$D400,ShiftKnowledge!$A$2:$A$9,ShiftKnowledge!$G$2:$G$9,""),IFERROR(INDEX(ShiftKnowledge!$G$2:$G$9,MATCH($B400&amp;"|"&amp;$D400,ShiftKnowledge!$A$2:$A$9,0)),"")))</f>
        <v/>
      </c>
      <c r="K400" s="6">
        <f>IF($D400="Custom","",IFERROR(XLOOKUP($B400&amp;"|"&amp;$D400,ShiftKnowledge!$A$2:$A$9,ShiftKnowledge!$H$2:$H$9,""),IFERROR(INDEX(ShiftKnowledge!$H$2:$H$9,MATCH($B400&amp;"|"&amp;$D400,ShiftKnowledge!$A$2:$A$9,0)),"")))</f>
        <v/>
      </c>
      <c r="L400" s="6">
        <f>IF($D400="Custom","",IFERROR(XLOOKUP($B400&amp;"|"&amp;$D400,ShiftKnowledge!$A$2:$A$9,ShiftKnowledge!$I$2:$I$9,""),IFERROR(INDEX(ShiftKnowledge!$I$2:$I$9,MATCH($B400&amp;"|"&amp;$D400,ShiftKnowledge!$A$2:$A$9,0)),"")))</f>
        <v/>
      </c>
      <c r="M400" s="6" t="inlineStr"/>
    </row>
    <row r="401" ht="20" customHeight="1">
      <c r="A401" s="4" t="inlineStr">
        <is>
          <t>18/11/2025</t>
        </is>
      </c>
      <c r="B401" s="4" t="inlineStr">
        <is>
          <t>Pulmonology</t>
        </is>
      </c>
      <c r="C401" s="5" t="inlineStr">
        <is>
          <t>Dr. Ahmed Gamal Youssef Meselhi</t>
        </is>
      </c>
      <c r="D401" s="4" t="inlineStr"/>
      <c r="E401" s="4">
        <f>IF($D401="Custom","",IFERROR(XLOOKUP($B401&amp;"|"&amp;$D401,ShiftKnowledge!$A$2:$A$9,ShiftKnowledge!$D$2:$D$9,""),IFERROR(INDEX(ShiftKnowledge!$D$2:$D$9,MATCH($B401&amp;"|"&amp;$D401,ShiftKnowledge!$A$2:$A$9,0)),"")))</f>
        <v/>
      </c>
      <c r="F401" s="4" t="inlineStr"/>
      <c r="G401" s="4">
        <f>IF(AND($I401="",$L401=""),"",IFERROR(VALUE($I401),0)+IFERROR(VALUE($L401),0))</f>
        <v/>
      </c>
      <c r="H401" s="4">
        <f>IF($D401="Custom","",IFERROR(XLOOKUP($B401&amp;"|"&amp;$D401,ShiftKnowledge!$A$2:$A$9,ShiftKnowledge!$E$2:$E$9,""),IFERROR(INDEX(ShiftKnowledge!$E$2:$E$9,MATCH($B401&amp;"|"&amp;$D401,ShiftKnowledge!$A$2:$A$9,0)),"")))</f>
        <v/>
      </c>
      <c r="I401" s="4">
        <f>IF($D401="Custom","",IFERROR(XLOOKUP($B401&amp;"|"&amp;$D401,ShiftKnowledge!$A$2:$A$9,ShiftKnowledge!$F$2:$F$9,""),IFERROR(INDEX(ShiftKnowledge!$F$2:$F$9,MATCH($B401&amp;"|"&amp;$D401,ShiftKnowledge!$A$2:$A$9,0)),"")))</f>
        <v/>
      </c>
      <c r="J401" s="4">
        <f>IF($D401="Custom","",IFERROR(XLOOKUP($B401&amp;"|"&amp;$D401,ShiftKnowledge!$A$2:$A$9,ShiftKnowledge!$G$2:$G$9,""),IFERROR(INDEX(ShiftKnowledge!$G$2:$G$9,MATCH($B401&amp;"|"&amp;$D401,ShiftKnowledge!$A$2:$A$9,0)),"")))</f>
        <v/>
      </c>
      <c r="K401" s="4">
        <f>IF($D401="Custom","",IFERROR(XLOOKUP($B401&amp;"|"&amp;$D401,ShiftKnowledge!$A$2:$A$9,ShiftKnowledge!$H$2:$H$9,""),IFERROR(INDEX(ShiftKnowledge!$H$2:$H$9,MATCH($B401&amp;"|"&amp;$D401,ShiftKnowledge!$A$2:$A$9,0)),"")))</f>
        <v/>
      </c>
      <c r="L401" s="4">
        <f>IF($D401="Custom","",IFERROR(XLOOKUP($B401&amp;"|"&amp;$D401,ShiftKnowledge!$A$2:$A$9,ShiftKnowledge!$I$2:$I$9,""),IFERROR(INDEX(ShiftKnowledge!$I$2:$I$9,MATCH($B401&amp;"|"&amp;$D401,ShiftKnowledge!$A$2:$A$9,0)),"")))</f>
        <v/>
      </c>
      <c r="M401" s="4" t="inlineStr"/>
    </row>
    <row r="402" ht="20" customHeight="1">
      <c r="A402" s="6" t="inlineStr">
        <is>
          <t>18/11/2025</t>
        </is>
      </c>
      <c r="B402" s="6" t="inlineStr">
        <is>
          <t>Dental</t>
        </is>
      </c>
      <c r="C402" s="7" t="inlineStr">
        <is>
          <t>Dr. Aishath Suha Ali</t>
        </is>
      </c>
      <c r="D402" s="6" t="inlineStr"/>
      <c r="E402" s="6">
        <f>IF($D402="Custom","",IFERROR(XLOOKUP($B402&amp;"|"&amp;$D402,ShiftKnowledge!$A$2:$A$9,ShiftKnowledge!$D$2:$D$9,""),IFERROR(INDEX(ShiftKnowledge!$D$2:$D$9,MATCH($B402&amp;"|"&amp;$D402,ShiftKnowledge!$A$2:$A$9,0)),"")))</f>
        <v/>
      </c>
      <c r="F402" s="6" t="inlineStr"/>
      <c r="G402" s="6">
        <f>IF(AND($I402="",$L402=""),"",IFERROR(VALUE($I402),0)+IFERROR(VALUE($L402),0))</f>
        <v/>
      </c>
      <c r="H402" s="6">
        <f>IF($D402="Custom","",IFERROR(XLOOKUP($B402&amp;"|"&amp;$D402,ShiftKnowledge!$A$2:$A$9,ShiftKnowledge!$E$2:$E$9,""),IFERROR(INDEX(ShiftKnowledge!$E$2:$E$9,MATCH($B402&amp;"|"&amp;$D402,ShiftKnowledge!$A$2:$A$9,0)),"")))</f>
        <v/>
      </c>
      <c r="I402" s="6">
        <f>IF($D402="Custom","",IFERROR(XLOOKUP($B402&amp;"|"&amp;$D402,ShiftKnowledge!$A$2:$A$9,ShiftKnowledge!$F$2:$F$9,""),IFERROR(INDEX(ShiftKnowledge!$F$2:$F$9,MATCH($B402&amp;"|"&amp;$D402,ShiftKnowledge!$A$2:$A$9,0)),"")))</f>
        <v/>
      </c>
      <c r="J402" s="6">
        <f>IF($D402="Custom","",IFERROR(XLOOKUP($B402&amp;"|"&amp;$D402,ShiftKnowledge!$A$2:$A$9,ShiftKnowledge!$G$2:$G$9,""),IFERROR(INDEX(ShiftKnowledge!$G$2:$G$9,MATCH($B402&amp;"|"&amp;$D402,ShiftKnowledge!$A$2:$A$9,0)),"")))</f>
        <v/>
      </c>
      <c r="K402" s="6">
        <f>IF($D402="Custom","",IFERROR(XLOOKUP($B402&amp;"|"&amp;$D402,ShiftKnowledge!$A$2:$A$9,ShiftKnowledge!$H$2:$H$9,""),IFERROR(INDEX(ShiftKnowledge!$H$2:$H$9,MATCH($B402&amp;"|"&amp;$D402,ShiftKnowledge!$A$2:$A$9,0)),"")))</f>
        <v/>
      </c>
      <c r="L402" s="6">
        <f>IF($D402="Custom","",IFERROR(XLOOKUP($B402&amp;"|"&amp;$D402,ShiftKnowledge!$A$2:$A$9,ShiftKnowledge!$I$2:$I$9,""),IFERROR(INDEX(ShiftKnowledge!$I$2:$I$9,MATCH($B402&amp;"|"&amp;$D402,ShiftKnowledge!$A$2:$A$9,0)),"")))</f>
        <v/>
      </c>
      <c r="M402" s="6" t="inlineStr"/>
    </row>
    <row r="403" ht="20" customHeight="1">
      <c r="A403" s="4" t="inlineStr">
        <is>
          <t>18/11/2025</t>
        </is>
      </c>
      <c r="B403" s="4" t="inlineStr">
        <is>
          <t>Paediatrics</t>
        </is>
      </c>
      <c r="C403" s="5" t="inlineStr">
        <is>
          <t>Dr. Alaa Adel Ahmed Sayed Ahmed Sobeih Elamawey</t>
        </is>
      </c>
      <c r="D403" s="4" t="inlineStr"/>
      <c r="E403" s="4">
        <f>IF($D403="Custom","",IFERROR(XLOOKUP($B403&amp;"|"&amp;$D403,ShiftKnowledge!$A$2:$A$9,ShiftKnowledge!$D$2:$D$9,""),IFERROR(INDEX(ShiftKnowledge!$D$2:$D$9,MATCH($B403&amp;"|"&amp;$D403,ShiftKnowledge!$A$2:$A$9,0)),"")))</f>
        <v/>
      </c>
      <c r="F403" s="4" t="inlineStr"/>
      <c r="G403" s="4">
        <f>IF(AND($I403="",$L403=""),"",IFERROR(VALUE($I403),0)+IFERROR(VALUE($L403),0))</f>
        <v/>
      </c>
      <c r="H403" s="4">
        <f>IF($D403="Custom","",IFERROR(XLOOKUP($B403&amp;"|"&amp;$D403,ShiftKnowledge!$A$2:$A$9,ShiftKnowledge!$E$2:$E$9,""),IFERROR(INDEX(ShiftKnowledge!$E$2:$E$9,MATCH($B403&amp;"|"&amp;$D403,ShiftKnowledge!$A$2:$A$9,0)),"")))</f>
        <v/>
      </c>
      <c r="I403" s="4">
        <f>IF($D403="Custom","",IFERROR(XLOOKUP($B403&amp;"|"&amp;$D403,ShiftKnowledge!$A$2:$A$9,ShiftKnowledge!$F$2:$F$9,""),IFERROR(INDEX(ShiftKnowledge!$F$2:$F$9,MATCH($B403&amp;"|"&amp;$D403,ShiftKnowledge!$A$2:$A$9,0)),"")))</f>
        <v/>
      </c>
      <c r="J403" s="4">
        <f>IF($D403="Custom","",IFERROR(XLOOKUP($B403&amp;"|"&amp;$D403,ShiftKnowledge!$A$2:$A$9,ShiftKnowledge!$G$2:$G$9,""),IFERROR(INDEX(ShiftKnowledge!$G$2:$G$9,MATCH($B403&amp;"|"&amp;$D403,ShiftKnowledge!$A$2:$A$9,0)),"")))</f>
        <v/>
      </c>
      <c r="K403" s="4">
        <f>IF($D403="Custom","",IFERROR(XLOOKUP($B403&amp;"|"&amp;$D403,ShiftKnowledge!$A$2:$A$9,ShiftKnowledge!$H$2:$H$9,""),IFERROR(INDEX(ShiftKnowledge!$H$2:$H$9,MATCH($B403&amp;"|"&amp;$D403,ShiftKnowledge!$A$2:$A$9,0)),"")))</f>
        <v/>
      </c>
      <c r="L403" s="4">
        <f>IF($D403="Custom","",IFERROR(XLOOKUP($B403&amp;"|"&amp;$D403,ShiftKnowledge!$A$2:$A$9,ShiftKnowledge!$I$2:$I$9,""),IFERROR(INDEX(ShiftKnowledge!$I$2:$I$9,MATCH($B403&amp;"|"&amp;$D403,ShiftKnowledge!$A$2:$A$9,0)),"")))</f>
        <v/>
      </c>
      <c r="M403" s="4" t="inlineStr"/>
    </row>
    <row r="404" ht="20" customHeight="1">
      <c r="A404" s="6" t="inlineStr">
        <is>
          <t>18/11/2025</t>
        </is>
      </c>
      <c r="B404" s="6" t="inlineStr">
        <is>
          <t>Paediatrics</t>
        </is>
      </c>
      <c r="C404" s="7" t="inlineStr">
        <is>
          <t>Dr. Alisha Joshi</t>
        </is>
      </c>
      <c r="D404" s="6" t="inlineStr"/>
      <c r="E404" s="6">
        <f>IF($D404="Custom","",IFERROR(XLOOKUP($B404&amp;"|"&amp;$D404,ShiftKnowledge!$A$2:$A$9,ShiftKnowledge!$D$2:$D$9,""),IFERROR(INDEX(ShiftKnowledge!$D$2:$D$9,MATCH($B404&amp;"|"&amp;$D404,ShiftKnowledge!$A$2:$A$9,0)),"")))</f>
        <v/>
      </c>
      <c r="F404" s="6" t="inlineStr"/>
      <c r="G404" s="6">
        <f>IF(AND($I404="",$L404=""),"",IFERROR(VALUE($I404),0)+IFERROR(VALUE($L404),0))</f>
        <v/>
      </c>
      <c r="H404" s="6">
        <f>IF($D404="Custom","",IFERROR(XLOOKUP($B404&amp;"|"&amp;$D404,ShiftKnowledge!$A$2:$A$9,ShiftKnowledge!$E$2:$E$9,""),IFERROR(INDEX(ShiftKnowledge!$E$2:$E$9,MATCH($B404&amp;"|"&amp;$D404,ShiftKnowledge!$A$2:$A$9,0)),"")))</f>
        <v/>
      </c>
      <c r="I404" s="6">
        <f>IF($D404="Custom","",IFERROR(XLOOKUP($B404&amp;"|"&amp;$D404,ShiftKnowledge!$A$2:$A$9,ShiftKnowledge!$F$2:$F$9,""),IFERROR(INDEX(ShiftKnowledge!$F$2:$F$9,MATCH($B404&amp;"|"&amp;$D404,ShiftKnowledge!$A$2:$A$9,0)),"")))</f>
        <v/>
      </c>
      <c r="J404" s="6">
        <f>IF($D404="Custom","",IFERROR(XLOOKUP($B404&amp;"|"&amp;$D404,ShiftKnowledge!$A$2:$A$9,ShiftKnowledge!$G$2:$G$9,""),IFERROR(INDEX(ShiftKnowledge!$G$2:$G$9,MATCH($B404&amp;"|"&amp;$D404,ShiftKnowledge!$A$2:$A$9,0)),"")))</f>
        <v/>
      </c>
      <c r="K404" s="6">
        <f>IF($D404="Custom","",IFERROR(XLOOKUP($B404&amp;"|"&amp;$D404,ShiftKnowledge!$A$2:$A$9,ShiftKnowledge!$H$2:$H$9,""),IFERROR(INDEX(ShiftKnowledge!$H$2:$H$9,MATCH($B404&amp;"|"&amp;$D404,ShiftKnowledge!$A$2:$A$9,0)),"")))</f>
        <v/>
      </c>
      <c r="L404" s="6">
        <f>IF($D404="Custom","",IFERROR(XLOOKUP($B404&amp;"|"&amp;$D404,ShiftKnowledge!$A$2:$A$9,ShiftKnowledge!$I$2:$I$9,""),IFERROR(INDEX(ShiftKnowledge!$I$2:$I$9,MATCH($B404&amp;"|"&amp;$D404,ShiftKnowledge!$A$2:$A$9,0)),"")))</f>
        <v/>
      </c>
      <c r="M404" s="6" t="inlineStr"/>
    </row>
    <row r="405" ht="20" customHeight="1">
      <c r="A405" s="4" t="inlineStr">
        <is>
          <t>18/11/2025</t>
        </is>
      </c>
      <c r="B405" s="4" t="inlineStr">
        <is>
          <t>Dental</t>
        </is>
      </c>
      <c r="C405" s="5" t="inlineStr">
        <is>
          <t>Dr. Aminath Dhunyana</t>
        </is>
      </c>
      <c r="D405" s="4" t="inlineStr"/>
      <c r="E405" s="4">
        <f>IF($D405="Custom","",IFERROR(XLOOKUP($B405&amp;"|"&amp;$D405,ShiftKnowledge!$A$2:$A$9,ShiftKnowledge!$D$2:$D$9,""),IFERROR(INDEX(ShiftKnowledge!$D$2:$D$9,MATCH($B405&amp;"|"&amp;$D405,ShiftKnowledge!$A$2:$A$9,0)),"")))</f>
        <v/>
      </c>
      <c r="F405" s="4" t="inlineStr"/>
      <c r="G405" s="4">
        <f>IF(AND($I405="",$L405=""),"",IFERROR(VALUE($I405),0)+IFERROR(VALUE($L405),0))</f>
        <v/>
      </c>
      <c r="H405" s="4">
        <f>IF($D405="Custom","",IFERROR(XLOOKUP($B405&amp;"|"&amp;$D405,ShiftKnowledge!$A$2:$A$9,ShiftKnowledge!$E$2:$E$9,""),IFERROR(INDEX(ShiftKnowledge!$E$2:$E$9,MATCH($B405&amp;"|"&amp;$D405,ShiftKnowledge!$A$2:$A$9,0)),"")))</f>
        <v/>
      </c>
      <c r="I405" s="4">
        <f>IF($D405="Custom","",IFERROR(XLOOKUP($B405&amp;"|"&amp;$D405,ShiftKnowledge!$A$2:$A$9,ShiftKnowledge!$F$2:$F$9,""),IFERROR(INDEX(ShiftKnowledge!$F$2:$F$9,MATCH($B405&amp;"|"&amp;$D405,ShiftKnowledge!$A$2:$A$9,0)),"")))</f>
        <v/>
      </c>
      <c r="J405" s="4">
        <f>IF($D405="Custom","",IFERROR(XLOOKUP($B405&amp;"|"&amp;$D405,ShiftKnowledge!$A$2:$A$9,ShiftKnowledge!$G$2:$G$9,""),IFERROR(INDEX(ShiftKnowledge!$G$2:$G$9,MATCH($B405&amp;"|"&amp;$D405,ShiftKnowledge!$A$2:$A$9,0)),"")))</f>
        <v/>
      </c>
      <c r="K405" s="4">
        <f>IF($D405="Custom","",IFERROR(XLOOKUP($B405&amp;"|"&amp;$D405,ShiftKnowledge!$A$2:$A$9,ShiftKnowledge!$H$2:$H$9,""),IFERROR(INDEX(ShiftKnowledge!$H$2:$H$9,MATCH($B405&amp;"|"&amp;$D405,ShiftKnowledge!$A$2:$A$9,0)),"")))</f>
        <v/>
      </c>
      <c r="L405" s="4">
        <f>IF($D405="Custom","",IFERROR(XLOOKUP($B405&amp;"|"&amp;$D405,ShiftKnowledge!$A$2:$A$9,ShiftKnowledge!$I$2:$I$9,""),IFERROR(INDEX(ShiftKnowledge!$I$2:$I$9,MATCH($B405&amp;"|"&amp;$D405,ShiftKnowledge!$A$2:$A$9,0)),"")))</f>
        <v/>
      </c>
      <c r="M405" s="4" t="inlineStr"/>
    </row>
    <row r="406" ht="20" customHeight="1">
      <c r="A406" s="6" t="inlineStr">
        <is>
          <t>18/11/2025</t>
        </is>
      </c>
      <c r="B406" s="6" t="inlineStr">
        <is>
          <t>Gynaecology</t>
        </is>
      </c>
      <c r="C406" s="7" t="inlineStr">
        <is>
          <t>Dr. Aminath Juhaina</t>
        </is>
      </c>
      <c r="D406" s="6" t="inlineStr"/>
      <c r="E406" s="6">
        <f>IF($D406="Custom","",IFERROR(XLOOKUP($B406&amp;"|"&amp;$D406,ShiftKnowledge!$A$2:$A$9,ShiftKnowledge!$D$2:$D$9,""),IFERROR(INDEX(ShiftKnowledge!$D$2:$D$9,MATCH($B406&amp;"|"&amp;$D406,ShiftKnowledge!$A$2:$A$9,0)),"")))</f>
        <v/>
      </c>
      <c r="F406" s="6" t="inlineStr"/>
      <c r="G406" s="6">
        <f>IF(AND($I406="",$L406=""),"",IFERROR(VALUE($I406),0)+IFERROR(VALUE($L406),0))</f>
        <v/>
      </c>
      <c r="H406" s="6">
        <f>IF($D406="Custom","",IFERROR(XLOOKUP($B406&amp;"|"&amp;$D406,ShiftKnowledge!$A$2:$A$9,ShiftKnowledge!$E$2:$E$9,""),IFERROR(INDEX(ShiftKnowledge!$E$2:$E$9,MATCH($B406&amp;"|"&amp;$D406,ShiftKnowledge!$A$2:$A$9,0)),"")))</f>
        <v/>
      </c>
      <c r="I406" s="6">
        <f>IF($D406="Custom","",IFERROR(XLOOKUP($B406&amp;"|"&amp;$D406,ShiftKnowledge!$A$2:$A$9,ShiftKnowledge!$F$2:$F$9,""),IFERROR(INDEX(ShiftKnowledge!$F$2:$F$9,MATCH($B406&amp;"|"&amp;$D406,ShiftKnowledge!$A$2:$A$9,0)),"")))</f>
        <v/>
      </c>
      <c r="J406" s="6">
        <f>IF($D406="Custom","",IFERROR(XLOOKUP($B406&amp;"|"&amp;$D406,ShiftKnowledge!$A$2:$A$9,ShiftKnowledge!$G$2:$G$9,""),IFERROR(INDEX(ShiftKnowledge!$G$2:$G$9,MATCH($B406&amp;"|"&amp;$D406,ShiftKnowledge!$A$2:$A$9,0)),"")))</f>
        <v/>
      </c>
      <c r="K406" s="6">
        <f>IF($D406="Custom","",IFERROR(XLOOKUP($B406&amp;"|"&amp;$D406,ShiftKnowledge!$A$2:$A$9,ShiftKnowledge!$H$2:$H$9,""),IFERROR(INDEX(ShiftKnowledge!$H$2:$H$9,MATCH($B406&amp;"|"&amp;$D406,ShiftKnowledge!$A$2:$A$9,0)),"")))</f>
        <v/>
      </c>
      <c r="L406" s="6">
        <f>IF($D406="Custom","",IFERROR(XLOOKUP($B406&amp;"|"&amp;$D406,ShiftKnowledge!$A$2:$A$9,ShiftKnowledge!$I$2:$I$9,""),IFERROR(INDEX(ShiftKnowledge!$I$2:$I$9,MATCH($B406&amp;"|"&amp;$D406,ShiftKnowledge!$A$2:$A$9,0)),"")))</f>
        <v/>
      </c>
      <c r="M406" s="6" t="inlineStr"/>
    </row>
    <row r="407" ht="20" customHeight="1">
      <c r="A407" s="4" t="inlineStr">
        <is>
          <t>18/11/2025</t>
        </is>
      </c>
      <c r="B407" s="4" t="inlineStr">
        <is>
          <t>Dental</t>
        </is>
      </c>
      <c r="C407" s="5" t="inlineStr">
        <is>
          <t>Dr. Aminath Khazna Musthafa</t>
        </is>
      </c>
      <c r="D407" s="4" t="inlineStr"/>
      <c r="E407" s="4">
        <f>IF($D407="Custom","",IFERROR(XLOOKUP($B407&amp;"|"&amp;$D407,ShiftKnowledge!$A$2:$A$9,ShiftKnowledge!$D$2:$D$9,""),IFERROR(INDEX(ShiftKnowledge!$D$2:$D$9,MATCH($B407&amp;"|"&amp;$D407,ShiftKnowledge!$A$2:$A$9,0)),"")))</f>
        <v/>
      </c>
      <c r="F407" s="4" t="inlineStr"/>
      <c r="G407" s="4">
        <f>IF(AND($I407="",$L407=""),"",IFERROR(VALUE($I407),0)+IFERROR(VALUE($L407),0))</f>
        <v/>
      </c>
      <c r="H407" s="4">
        <f>IF($D407="Custom","",IFERROR(XLOOKUP($B407&amp;"|"&amp;$D407,ShiftKnowledge!$A$2:$A$9,ShiftKnowledge!$E$2:$E$9,""),IFERROR(INDEX(ShiftKnowledge!$E$2:$E$9,MATCH($B407&amp;"|"&amp;$D407,ShiftKnowledge!$A$2:$A$9,0)),"")))</f>
        <v/>
      </c>
      <c r="I407" s="4">
        <f>IF($D407="Custom","",IFERROR(XLOOKUP($B407&amp;"|"&amp;$D407,ShiftKnowledge!$A$2:$A$9,ShiftKnowledge!$F$2:$F$9,""),IFERROR(INDEX(ShiftKnowledge!$F$2:$F$9,MATCH($B407&amp;"|"&amp;$D407,ShiftKnowledge!$A$2:$A$9,0)),"")))</f>
        <v/>
      </c>
      <c r="J407" s="4">
        <f>IF($D407="Custom","",IFERROR(XLOOKUP($B407&amp;"|"&amp;$D407,ShiftKnowledge!$A$2:$A$9,ShiftKnowledge!$G$2:$G$9,""),IFERROR(INDEX(ShiftKnowledge!$G$2:$G$9,MATCH($B407&amp;"|"&amp;$D407,ShiftKnowledge!$A$2:$A$9,0)),"")))</f>
        <v/>
      </c>
      <c r="K407" s="4">
        <f>IF($D407="Custom","",IFERROR(XLOOKUP($B407&amp;"|"&amp;$D407,ShiftKnowledge!$A$2:$A$9,ShiftKnowledge!$H$2:$H$9,""),IFERROR(INDEX(ShiftKnowledge!$H$2:$H$9,MATCH($B407&amp;"|"&amp;$D407,ShiftKnowledge!$A$2:$A$9,0)),"")))</f>
        <v/>
      </c>
      <c r="L407" s="4">
        <f>IF($D407="Custom","",IFERROR(XLOOKUP($B407&amp;"|"&amp;$D407,ShiftKnowledge!$A$2:$A$9,ShiftKnowledge!$I$2:$I$9,""),IFERROR(INDEX(ShiftKnowledge!$I$2:$I$9,MATCH($B407&amp;"|"&amp;$D407,ShiftKnowledge!$A$2:$A$9,0)),"")))</f>
        <v/>
      </c>
      <c r="M407" s="4" t="inlineStr"/>
    </row>
    <row r="408" ht="20" customHeight="1">
      <c r="A408" s="6" t="inlineStr">
        <is>
          <t>18/11/2025</t>
        </is>
      </c>
      <c r="B408" s="6" t="inlineStr">
        <is>
          <t>Internal Medicine</t>
        </is>
      </c>
      <c r="C408" s="7" t="inlineStr">
        <is>
          <t>Dr. Aminath Munaza</t>
        </is>
      </c>
      <c r="D408" s="6" t="inlineStr"/>
      <c r="E408" s="6">
        <f>IF($D408="Custom","",IFERROR(XLOOKUP($B408&amp;"|"&amp;$D408,ShiftKnowledge!$A$2:$A$9,ShiftKnowledge!$D$2:$D$9,""),IFERROR(INDEX(ShiftKnowledge!$D$2:$D$9,MATCH($B408&amp;"|"&amp;$D408,ShiftKnowledge!$A$2:$A$9,0)),"")))</f>
        <v/>
      </c>
      <c r="F408" s="6" t="inlineStr"/>
      <c r="G408" s="6">
        <f>IF(AND($I408="",$L408=""),"",IFERROR(VALUE($I408),0)+IFERROR(VALUE($L408),0))</f>
        <v/>
      </c>
      <c r="H408" s="6">
        <f>IF($D408="Custom","",IFERROR(XLOOKUP($B408&amp;"|"&amp;$D408,ShiftKnowledge!$A$2:$A$9,ShiftKnowledge!$E$2:$E$9,""),IFERROR(INDEX(ShiftKnowledge!$E$2:$E$9,MATCH($B408&amp;"|"&amp;$D408,ShiftKnowledge!$A$2:$A$9,0)),"")))</f>
        <v/>
      </c>
      <c r="I408" s="6">
        <f>IF($D408="Custom","",IFERROR(XLOOKUP($B408&amp;"|"&amp;$D408,ShiftKnowledge!$A$2:$A$9,ShiftKnowledge!$F$2:$F$9,""),IFERROR(INDEX(ShiftKnowledge!$F$2:$F$9,MATCH($B408&amp;"|"&amp;$D408,ShiftKnowledge!$A$2:$A$9,0)),"")))</f>
        <v/>
      </c>
      <c r="J408" s="6">
        <f>IF($D408="Custom","",IFERROR(XLOOKUP($B408&amp;"|"&amp;$D408,ShiftKnowledge!$A$2:$A$9,ShiftKnowledge!$G$2:$G$9,""),IFERROR(INDEX(ShiftKnowledge!$G$2:$G$9,MATCH($B408&amp;"|"&amp;$D408,ShiftKnowledge!$A$2:$A$9,0)),"")))</f>
        <v/>
      </c>
      <c r="K408" s="6">
        <f>IF($D408="Custom","",IFERROR(XLOOKUP($B408&amp;"|"&amp;$D408,ShiftKnowledge!$A$2:$A$9,ShiftKnowledge!$H$2:$H$9,""),IFERROR(INDEX(ShiftKnowledge!$H$2:$H$9,MATCH($B408&amp;"|"&amp;$D408,ShiftKnowledge!$A$2:$A$9,0)),"")))</f>
        <v/>
      </c>
      <c r="L408" s="6">
        <f>IF($D408="Custom","",IFERROR(XLOOKUP($B408&amp;"|"&amp;$D408,ShiftKnowledge!$A$2:$A$9,ShiftKnowledge!$I$2:$I$9,""),IFERROR(INDEX(ShiftKnowledge!$I$2:$I$9,MATCH($B408&amp;"|"&amp;$D408,ShiftKnowledge!$A$2:$A$9,0)),"")))</f>
        <v/>
      </c>
      <c r="M408" s="6" t="inlineStr"/>
    </row>
    <row r="409" ht="20" customHeight="1">
      <c r="A409" s="4" t="inlineStr">
        <is>
          <t>18/11/2025</t>
        </is>
      </c>
      <c r="B409" s="4" t="inlineStr">
        <is>
          <t>Psychiatry</t>
        </is>
      </c>
      <c r="C409" s="5" t="inlineStr">
        <is>
          <t>Dr. Anas Mohamed Anwar Ahmed Ali</t>
        </is>
      </c>
      <c r="D409" s="4" t="inlineStr"/>
      <c r="E409" s="4">
        <f>IF($D409="Custom","",IFERROR(XLOOKUP($B409&amp;"|"&amp;$D409,ShiftKnowledge!$A$2:$A$9,ShiftKnowledge!$D$2:$D$9,""),IFERROR(INDEX(ShiftKnowledge!$D$2:$D$9,MATCH($B409&amp;"|"&amp;$D409,ShiftKnowledge!$A$2:$A$9,0)),"")))</f>
        <v/>
      </c>
      <c r="F409" s="4" t="inlineStr"/>
      <c r="G409" s="4">
        <f>IF(AND($I409="",$L409=""),"",IFERROR(VALUE($I409),0)+IFERROR(VALUE($L409),0))</f>
        <v/>
      </c>
      <c r="H409" s="4">
        <f>IF($D409="Custom","",IFERROR(XLOOKUP($B409&amp;"|"&amp;$D409,ShiftKnowledge!$A$2:$A$9,ShiftKnowledge!$E$2:$E$9,""),IFERROR(INDEX(ShiftKnowledge!$E$2:$E$9,MATCH($B409&amp;"|"&amp;$D409,ShiftKnowledge!$A$2:$A$9,0)),"")))</f>
        <v/>
      </c>
      <c r="I409" s="4">
        <f>IF($D409="Custom","",IFERROR(XLOOKUP($B409&amp;"|"&amp;$D409,ShiftKnowledge!$A$2:$A$9,ShiftKnowledge!$F$2:$F$9,""),IFERROR(INDEX(ShiftKnowledge!$F$2:$F$9,MATCH($B409&amp;"|"&amp;$D409,ShiftKnowledge!$A$2:$A$9,0)),"")))</f>
        <v/>
      </c>
      <c r="J409" s="4">
        <f>IF($D409="Custom","",IFERROR(XLOOKUP($B409&amp;"|"&amp;$D409,ShiftKnowledge!$A$2:$A$9,ShiftKnowledge!$G$2:$G$9,""),IFERROR(INDEX(ShiftKnowledge!$G$2:$G$9,MATCH($B409&amp;"|"&amp;$D409,ShiftKnowledge!$A$2:$A$9,0)),"")))</f>
        <v/>
      </c>
      <c r="K409" s="4">
        <f>IF($D409="Custom","",IFERROR(XLOOKUP($B409&amp;"|"&amp;$D409,ShiftKnowledge!$A$2:$A$9,ShiftKnowledge!$H$2:$H$9,""),IFERROR(INDEX(ShiftKnowledge!$H$2:$H$9,MATCH($B409&amp;"|"&amp;$D409,ShiftKnowledge!$A$2:$A$9,0)),"")))</f>
        <v/>
      </c>
      <c r="L409" s="4">
        <f>IF($D409="Custom","",IFERROR(XLOOKUP($B409&amp;"|"&amp;$D409,ShiftKnowledge!$A$2:$A$9,ShiftKnowledge!$I$2:$I$9,""),IFERROR(INDEX(ShiftKnowledge!$I$2:$I$9,MATCH($B409&amp;"|"&amp;$D409,ShiftKnowledge!$A$2:$A$9,0)),"")))</f>
        <v/>
      </c>
      <c r="M409" s="4" t="inlineStr"/>
    </row>
    <row r="410" ht="20" customHeight="1">
      <c r="A410" s="6" t="inlineStr">
        <is>
          <t>18/11/2025</t>
        </is>
      </c>
      <c r="B410" s="6" t="inlineStr">
        <is>
          <t>Oral Maxillo facial surgery (OMS)</t>
        </is>
      </c>
      <c r="C410" s="7" t="inlineStr">
        <is>
          <t>Dr. Arpita Singh</t>
        </is>
      </c>
      <c r="D410" s="6" t="inlineStr"/>
      <c r="E410" s="6">
        <f>IF($D410="Custom","",IFERROR(XLOOKUP($B410&amp;"|"&amp;$D410,ShiftKnowledge!$A$2:$A$9,ShiftKnowledge!$D$2:$D$9,""),IFERROR(INDEX(ShiftKnowledge!$D$2:$D$9,MATCH($B410&amp;"|"&amp;$D410,ShiftKnowledge!$A$2:$A$9,0)),"")))</f>
        <v/>
      </c>
      <c r="F410" s="6" t="inlineStr"/>
      <c r="G410" s="6">
        <f>IF(AND($I410="",$L410=""),"",IFERROR(VALUE($I410),0)+IFERROR(VALUE($L410),0))</f>
        <v/>
      </c>
      <c r="H410" s="6">
        <f>IF($D410="Custom","",IFERROR(XLOOKUP($B410&amp;"|"&amp;$D410,ShiftKnowledge!$A$2:$A$9,ShiftKnowledge!$E$2:$E$9,""),IFERROR(INDEX(ShiftKnowledge!$E$2:$E$9,MATCH($B410&amp;"|"&amp;$D410,ShiftKnowledge!$A$2:$A$9,0)),"")))</f>
        <v/>
      </c>
      <c r="I410" s="6">
        <f>IF($D410="Custom","",IFERROR(XLOOKUP($B410&amp;"|"&amp;$D410,ShiftKnowledge!$A$2:$A$9,ShiftKnowledge!$F$2:$F$9,""),IFERROR(INDEX(ShiftKnowledge!$F$2:$F$9,MATCH($B410&amp;"|"&amp;$D410,ShiftKnowledge!$A$2:$A$9,0)),"")))</f>
        <v/>
      </c>
      <c r="J410" s="6">
        <f>IF($D410="Custom","",IFERROR(XLOOKUP($B410&amp;"|"&amp;$D410,ShiftKnowledge!$A$2:$A$9,ShiftKnowledge!$G$2:$G$9,""),IFERROR(INDEX(ShiftKnowledge!$G$2:$G$9,MATCH($B410&amp;"|"&amp;$D410,ShiftKnowledge!$A$2:$A$9,0)),"")))</f>
        <v/>
      </c>
      <c r="K410" s="6">
        <f>IF($D410="Custom","",IFERROR(XLOOKUP($B410&amp;"|"&amp;$D410,ShiftKnowledge!$A$2:$A$9,ShiftKnowledge!$H$2:$H$9,""),IFERROR(INDEX(ShiftKnowledge!$H$2:$H$9,MATCH($B410&amp;"|"&amp;$D410,ShiftKnowledge!$A$2:$A$9,0)),"")))</f>
        <v/>
      </c>
      <c r="L410" s="6">
        <f>IF($D410="Custom","",IFERROR(XLOOKUP($B410&amp;"|"&amp;$D410,ShiftKnowledge!$A$2:$A$9,ShiftKnowledge!$I$2:$I$9,""),IFERROR(INDEX(ShiftKnowledge!$I$2:$I$9,MATCH($B410&amp;"|"&amp;$D410,ShiftKnowledge!$A$2:$A$9,0)),"")))</f>
        <v/>
      </c>
      <c r="M410" s="6" t="inlineStr"/>
    </row>
    <row r="411" ht="20" customHeight="1">
      <c r="A411" s="4" t="inlineStr">
        <is>
          <t>18/11/2025</t>
        </is>
      </c>
      <c r="B411" s="4" t="inlineStr">
        <is>
          <t>Orthopaedics</t>
        </is>
      </c>
      <c r="C411" s="5" t="inlineStr">
        <is>
          <t>Dr. Asish Rajak</t>
        </is>
      </c>
      <c r="D411" s="4" t="inlineStr"/>
      <c r="E411" s="4">
        <f>IF($D411="Custom","",IFERROR(XLOOKUP($B411&amp;"|"&amp;$D411,ShiftKnowledge!$A$2:$A$9,ShiftKnowledge!$D$2:$D$9,""),IFERROR(INDEX(ShiftKnowledge!$D$2:$D$9,MATCH($B411&amp;"|"&amp;$D411,ShiftKnowledge!$A$2:$A$9,0)),"")))</f>
        <v/>
      </c>
      <c r="F411" s="4" t="inlineStr"/>
      <c r="G411" s="4">
        <f>IF(AND($I411="",$L411=""),"",IFERROR(VALUE($I411),0)+IFERROR(VALUE($L411),0))</f>
        <v/>
      </c>
      <c r="H411" s="4">
        <f>IF($D411="Custom","",IFERROR(XLOOKUP($B411&amp;"|"&amp;$D411,ShiftKnowledge!$A$2:$A$9,ShiftKnowledge!$E$2:$E$9,""),IFERROR(INDEX(ShiftKnowledge!$E$2:$E$9,MATCH($B411&amp;"|"&amp;$D411,ShiftKnowledge!$A$2:$A$9,0)),"")))</f>
        <v/>
      </c>
      <c r="I411" s="4">
        <f>IF($D411="Custom","",IFERROR(XLOOKUP($B411&amp;"|"&amp;$D411,ShiftKnowledge!$A$2:$A$9,ShiftKnowledge!$F$2:$F$9,""),IFERROR(INDEX(ShiftKnowledge!$F$2:$F$9,MATCH($B411&amp;"|"&amp;$D411,ShiftKnowledge!$A$2:$A$9,0)),"")))</f>
        <v/>
      </c>
      <c r="J411" s="4">
        <f>IF($D411="Custom","",IFERROR(XLOOKUP($B411&amp;"|"&amp;$D411,ShiftKnowledge!$A$2:$A$9,ShiftKnowledge!$G$2:$G$9,""),IFERROR(INDEX(ShiftKnowledge!$G$2:$G$9,MATCH($B411&amp;"|"&amp;$D411,ShiftKnowledge!$A$2:$A$9,0)),"")))</f>
        <v/>
      </c>
      <c r="K411" s="4">
        <f>IF($D411="Custom","",IFERROR(XLOOKUP($B411&amp;"|"&amp;$D411,ShiftKnowledge!$A$2:$A$9,ShiftKnowledge!$H$2:$H$9,""),IFERROR(INDEX(ShiftKnowledge!$H$2:$H$9,MATCH($B411&amp;"|"&amp;$D411,ShiftKnowledge!$A$2:$A$9,0)),"")))</f>
        <v/>
      </c>
      <c r="L411" s="4">
        <f>IF($D411="Custom","",IFERROR(XLOOKUP($B411&amp;"|"&amp;$D411,ShiftKnowledge!$A$2:$A$9,ShiftKnowledge!$I$2:$I$9,""),IFERROR(INDEX(ShiftKnowledge!$I$2:$I$9,MATCH($B411&amp;"|"&amp;$D411,ShiftKnowledge!$A$2:$A$9,0)),"")))</f>
        <v/>
      </c>
      <c r="M411" s="4" t="inlineStr"/>
    </row>
    <row r="412" ht="20" customHeight="1">
      <c r="A412" s="6" t="inlineStr">
        <is>
          <t>18/11/2025</t>
        </is>
      </c>
      <c r="B412" s="6" t="inlineStr">
        <is>
          <t>Dermatology</t>
        </is>
      </c>
      <c r="C412" s="7" t="inlineStr">
        <is>
          <t>Dr. Aya Gamal Kotb Mohamed Elagamy</t>
        </is>
      </c>
      <c r="D412" s="6" t="inlineStr"/>
      <c r="E412" s="6">
        <f>IF($D412="Custom","",IFERROR(XLOOKUP($B412&amp;"|"&amp;$D412,ShiftKnowledge!$A$2:$A$9,ShiftKnowledge!$D$2:$D$9,""),IFERROR(INDEX(ShiftKnowledge!$D$2:$D$9,MATCH($B412&amp;"|"&amp;$D412,ShiftKnowledge!$A$2:$A$9,0)),"")))</f>
        <v/>
      </c>
      <c r="F412" s="6" t="inlineStr"/>
      <c r="G412" s="6">
        <f>IF(AND($I412="",$L412=""),"",IFERROR(VALUE($I412),0)+IFERROR(VALUE($L412),0))</f>
        <v/>
      </c>
      <c r="H412" s="6">
        <f>IF($D412="Custom","",IFERROR(XLOOKUP($B412&amp;"|"&amp;$D412,ShiftKnowledge!$A$2:$A$9,ShiftKnowledge!$E$2:$E$9,""),IFERROR(INDEX(ShiftKnowledge!$E$2:$E$9,MATCH($B412&amp;"|"&amp;$D412,ShiftKnowledge!$A$2:$A$9,0)),"")))</f>
        <v/>
      </c>
      <c r="I412" s="6">
        <f>IF($D412="Custom","",IFERROR(XLOOKUP($B412&amp;"|"&amp;$D412,ShiftKnowledge!$A$2:$A$9,ShiftKnowledge!$F$2:$F$9,""),IFERROR(INDEX(ShiftKnowledge!$F$2:$F$9,MATCH($B412&amp;"|"&amp;$D412,ShiftKnowledge!$A$2:$A$9,0)),"")))</f>
        <v/>
      </c>
      <c r="J412" s="6">
        <f>IF($D412="Custom","",IFERROR(XLOOKUP($B412&amp;"|"&amp;$D412,ShiftKnowledge!$A$2:$A$9,ShiftKnowledge!$G$2:$G$9,""),IFERROR(INDEX(ShiftKnowledge!$G$2:$G$9,MATCH($B412&amp;"|"&amp;$D412,ShiftKnowledge!$A$2:$A$9,0)),"")))</f>
        <v/>
      </c>
      <c r="K412" s="6">
        <f>IF($D412="Custom","",IFERROR(XLOOKUP($B412&amp;"|"&amp;$D412,ShiftKnowledge!$A$2:$A$9,ShiftKnowledge!$H$2:$H$9,""),IFERROR(INDEX(ShiftKnowledge!$H$2:$H$9,MATCH($B412&amp;"|"&amp;$D412,ShiftKnowledge!$A$2:$A$9,0)),"")))</f>
        <v/>
      </c>
      <c r="L412" s="6">
        <f>IF($D412="Custom","",IFERROR(XLOOKUP($B412&amp;"|"&amp;$D412,ShiftKnowledge!$A$2:$A$9,ShiftKnowledge!$I$2:$I$9,""),IFERROR(INDEX(ShiftKnowledge!$I$2:$I$9,MATCH($B412&amp;"|"&amp;$D412,ShiftKnowledge!$A$2:$A$9,0)),"")))</f>
        <v/>
      </c>
      <c r="M412" s="6" t="inlineStr"/>
    </row>
    <row r="413" ht="20" customHeight="1">
      <c r="A413" s="4" t="inlineStr">
        <is>
          <t>18/11/2025</t>
        </is>
      </c>
      <c r="B413" s="4" t="inlineStr">
        <is>
          <t>Dental</t>
        </is>
      </c>
      <c r="C413" s="5" t="inlineStr">
        <is>
          <t>Dr. Benjamin Premkumar</t>
        </is>
      </c>
      <c r="D413" s="4" t="inlineStr"/>
      <c r="E413" s="4">
        <f>IF($D413="Custom","",IFERROR(XLOOKUP($B413&amp;"|"&amp;$D413,ShiftKnowledge!$A$2:$A$9,ShiftKnowledge!$D$2:$D$9,""),IFERROR(INDEX(ShiftKnowledge!$D$2:$D$9,MATCH($B413&amp;"|"&amp;$D413,ShiftKnowledge!$A$2:$A$9,0)),"")))</f>
        <v/>
      </c>
      <c r="F413" s="4" t="inlineStr"/>
      <c r="G413" s="4">
        <f>IF(AND($I413="",$L413=""),"",IFERROR(VALUE($I413),0)+IFERROR(VALUE($L413),0))</f>
        <v/>
      </c>
      <c r="H413" s="4">
        <f>IF($D413="Custom","",IFERROR(XLOOKUP($B413&amp;"|"&amp;$D413,ShiftKnowledge!$A$2:$A$9,ShiftKnowledge!$E$2:$E$9,""),IFERROR(INDEX(ShiftKnowledge!$E$2:$E$9,MATCH($B413&amp;"|"&amp;$D413,ShiftKnowledge!$A$2:$A$9,0)),"")))</f>
        <v/>
      </c>
      <c r="I413" s="4">
        <f>IF($D413="Custom","",IFERROR(XLOOKUP($B413&amp;"|"&amp;$D413,ShiftKnowledge!$A$2:$A$9,ShiftKnowledge!$F$2:$F$9,""),IFERROR(INDEX(ShiftKnowledge!$F$2:$F$9,MATCH($B413&amp;"|"&amp;$D413,ShiftKnowledge!$A$2:$A$9,0)),"")))</f>
        <v/>
      </c>
      <c r="J413" s="4">
        <f>IF($D413="Custom","",IFERROR(XLOOKUP($B413&amp;"|"&amp;$D413,ShiftKnowledge!$A$2:$A$9,ShiftKnowledge!$G$2:$G$9,""),IFERROR(INDEX(ShiftKnowledge!$G$2:$G$9,MATCH($B413&amp;"|"&amp;$D413,ShiftKnowledge!$A$2:$A$9,0)),"")))</f>
        <v/>
      </c>
      <c r="K413" s="4">
        <f>IF($D413="Custom","",IFERROR(XLOOKUP($B413&amp;"|"&amp;$D413,ShiftKnowledge!$A$2:$A$9,ShiftKnowledge!$H$2:$H$9,""),IFERROR(INDEX(ShiftKnowledge!$H$2:$H$9,MATCH($B413&amp;"|"&amp;$D413,ShiftKnowledge!$A$2:$A$9,0)),"")))</f>
        <v/>
      </c>
      <c r="L413" s="4">
        <f>IF($D413="Custom","",IFERROR(XLOOKUP($B413&amp;"|"&amp;$D413,ShiftKnowledge!$A$2:$A$9,ShiftKnowledge!$I$2:$I$9,""),IFERROR(INDEX(ShiftKnowledge!$I$2:$I$9,MATCH($B413&amp;"|"&amp;$D413,ShiftKnowledge!$A$2:$A$9,0)),"")))</f>
        <v/>
      </c>
      <c r="M413" s="4" t="inlineStr"/>
    </row>
    <row r="414" ht="20" customHeight="1">
      <c r="A414" s="6" t="inlineStr">
        <is>
          <t>18/11/2025</t>
        </is>
      </c>
      <c r="B414" s="6" t="inlineStr">
        <is>
          <t>Internal Medicine</t>
        </is>
      </c>
      <c r="C414" s="7" t="inlineStr">
        <is>
          <t>Dr. Cho Thway Mon</t>
        </is>
      </c>
      <c r="D414" s="6" t="inlineStr"/>
      <c r="E414" s="6">
        <f>IF($D414="Custom","",IFERROR(XLOOKUP($B414&amp;"|"&amp;$D414,ShiftKnowledge!$A$2:$A$9,ShiftKnowledge!$D$2:$D$9,""),IFERROR(INDEX(ShiftKnowledge!$D$2:$D$9,MATCH($B414&amp;"|"&amp;$D414,ShiftKnowledge!$A$2:$A$9,0)),"")))</f>
        <v/>
      </c>
      <c r="F414" s="6" t="inlineStr"/>
      <c r="G414" s="6">
        <f>IF(AND($I414="",$L414=""),"",IFERROR(VALUE($I414),0)+IFERROR(VALUE($L414),0))</f>
        <v/>
      </c>
      <c r="H414" s="6">
        <f>IF($D414="Custom","",IFERROR(XLOOKUP($B414&amp;"|"&amp;$D414,ShiftKnowledge!$A$2:$A$9,ShiftKnowledge!$E$2:$E$9,""),IFERROR(INDEX(ShiftKnowledge!$E$2:$E$9,MATCH($B414&amp;"|"&amp;$D414,ShiftKnowledge!$A$2:$A$9,0)),"")))</f>
        <v/>
      </c>
      <c r="I414" s="6">
        <f>IF($D414="Custom","",IFERROR(XLOOKUP($B414&amp;"|"&amp;$D414,ShiftKnowledge!$A$2:$A$9,ShiftKnowledge!$F$2:$F$9,""),IFERROR(INDEX(ShiftKnowledge!$F$2:$F$9,MATCH($B414&amp;"|"&amp;$D414,ShiftKnowledge!$A$2:$A$9,0)),"")))</f>
        <v/>
      </c>
      <c r="J414" s="6">
        <f>IF($D414="Custom","",IFERROR(XLOOKUP($B414&amp;"|"&amp;$D414,ShiftKnowledge!$A$2:$A$9,ShiftKnowledge!$G$2:$G$9,""),IFERROR(INDEX(ShiftKnowledge!$G$2:$G$9,MATCH($B414&amp;"|"&amp;$D414,ShiftKnowledge!$A$2:$A$9,0)),"")))</f>
        <v/>
      </c>
      <c r="K414" s="6">
        <f>IF($D414="Custom","",IFERROR(XLOOKUP($B414&amp;"|"&amp;$D414,ShiftKnowledge!$A$2:$A$9,ShiftKnowledge!$H$2:$H$9,""),IFERROR(INDEX(ShiftKnowledge!$H$2:$H$9,MATCH($B414&amp;"|"&amp;$D414,ShiftKnowledge!$A$2:$A$9,0)),"")))</f>
        <v/>
      </c>
      <c r="L414" s="6">
        <f>IF($D414="Custom","",IFERROR(XLOOKUP($B414&amp;"|"&amp;$D414,ShiftKnowledge!$A$2:$A$9,ShiftKnowledge!$I$2:$I$9,""),IFERROR(INDEX(ShiftKnowledge!$I$2:$I$9,MATCH($B414&amp;"|"&amp;$D414,ShiftKnowledge!$A$2:$A$9,0)),"")))</f>
        <v/>
      </c>
      <c r="M414" s="6" t="inlineStr"/>
    </row>
    <row r="415" ht="20" customHeight="1">
      <c r="A415" s="4" t="inlineStr">
        <is>
          <t>18/11/2025</t>
        </is>
      </c>
      <c r="B415" s="4" t="inlineStr">
        <is>
          <t>Orthopaedics</t>
        </is>
      </c>
      <c r="C415" s="5" t="inlineStr">
        <is>
          <t>Dr. Dinesh Kumar Pandit</t>
        </is>
      </c>
      <c r="D415" s="4" t="inlineStr"/>
      <c r="E415" s="4">
        <f>IF($D415="Custom","",IFERROR(XLOOKUP($B415&amp;"|"&amp;$D415,ShiftKnowledge!$A$2:$A$9,ShiftKnowledge!$D$2:$D$9,""),IFERROR(INDEX(ShiftKnowledge!$D$2:$D$9,MATCH($B415&amp;"|"&amp;$D415,ShiftKnowledge!$A$2:$A$9,0)),"")))</f>
        <v/>
      </c>
      <c r="F415" s="4" t="inlineStr"/>
      <c r="G415" s="4">
        <f>IF(AND($I415="",$L415=""),"",IFERROR(VALUE($I415),0)+IFERROR(VALUE($L415),0))</f>
        <v/>
      </c>
      <c r="H415" s="4">
        <f>IF($D415="Custom","",IFERROR(XLOOKUP($B415&amp;"|"&amp;$D415,ShiftKnowledge!$A$2:$A$9,ShiftKnowledge!$E$2:$E$9,""),IFERROR(INDEX(ShiftKnowledge!$E$2:$E$9,MATCH($B415&amp;"|"&amp;$D415,ShiftKnowledge!$A$2:$A$9,0)),"")))</f>
        <v/>
      </c>
      <c r="I415" s="4">
        <f>IF($D415="Custom","",IFERROR(XLOOKUP($B415&amp;"|"&amp;$D415,ShiftKnowledge!$A$2:$A$9,ShiftKnowledge!$F$2:$F$9,""),IFERROR(INDEX(ShiftKnowledge!$F$2:$F$9,MATCH($B415&amp;"|"&amp;$D415,ShiftKnowledge!$A$2:$A$9,0)),"")))</f>
        <v/>
      </c>
      <c r="J415" s="4">
        <f>IF($D415="Custom","",IFERROR(XLOOKUP($B415&amp;"|"&amp;$D415,ShiftKnowledge!$A$2:$A$9,ShiftKnowledge!$G$2:$G$9,""),IFERROR(INDEX(ShiftKnowledge!$G$2:$G$9,MATCH($B415&amp;"|"&amp;$D415,ShiftKnowledge!$A$2:$A$9,0)),"")))</f>
        <v/>
      </c>
      <c r="K415" s="4">
        <f>IF($D415="Custom","",IFERROR(XLOOKUP($B415&amp;"|"&amp;$D415,ShiftKnowledge!$A$2:$A$9,ShiftKnowledge!$H$2:$H$9,""),IFERROR(INDEX(ShiftKnowledge!$H$2:$H$9,MATCH($B415&amp;"|"&amp;$D415,ShiftKnowledge!$A$2:$A$9,0)),"")))</f>
        <v/>
      </c>
      <c r="L415" s="4">
        <f>IF($D415="Custom","",IFERROR(XLOOKUP($B415&amp;"|"&amp;$D415,ShiftKnowledge!$A$2:$A$9,ShiftKnowledge!$I$2:$I$9,""),IFERROR(INDEX(ShiftKnowledge!$I$2:$I$9,MATCH($B415&amp;"|"&amp;$D415,ShiftKnowledge!$A$2:$A$9,0)),"")))</f>
        <v/>
      </c>
      <c r="M415" s="4" t="inlineStr"/>
    </row>
    <row r="416" ht="20" customHeight="1">
      <c r="A416" s="6" t="inlineStr">
        <is>
          <t>18/11/2025</t>
        </is>
      </c>
      <c r="B416" s="6" t="inlineStr">
        <is>
          <t>Internal Medicine</t>
        </is>
      </c>
      <c r="C416" s="7" t="inlineStr">
        <is>
          <t>Dr. Ei Shwe Yee Myint</t>
        </is>
      </c>
      <c r="D416" s="6" t="inlineStr"/>
      <c r="E416" s="6">
        <f>IF($D416="Custom","",IFERROR(XLOOKUP($B416&amp;"|"&amp;$D416,ShiftKnowledge!$A$2:$A$9,ShiftKnowledge!$D$2:$D$9,""),IFERROR(INDEX(ShiftKnowledge!$D$2:$D$9,MATCH($B416&amp;"|"&amp;$D416,ShiftKnowledge!$A$2:$A$9,0)),"")))</f>
        <v/>
      </c>
      <c r="F416" s="6" t="inlineStr"/>
      <c r="G416" s="6">
        <f>IF(AND($I416="",$L416=""),"",IFERROR(VALUE($I416),0)+IFERROR(VALUE($L416),0))</f>
        <v/>
      </c>
      <c r="H416" s="6">
        <f>IF($D416="Custom","",IFERROR(XLOOKUP($B416&amp;"|"&amp;$D416,ShiftKnowledge!$A$2:$A$9,ShiftKnowledge!$E$2:$E$9,""),IFERROR(INDEX(ShiftKnowledge!$E$2:$E$9,MATCH($B416&amp;"|"&amp;$D416,ShiftKnowledge!$A$2:$A$9,0)),"")))</f>
        <v/>
      </c>
      <c r="I416" s="6">
        <f>IF($D416="Custom","",IFERROR(XLOOKUP($B416&amp;"|"&amp;$D416,ShiftKnowledge!$A$2:$A$9,ShiftKnowledge!$F$2:$F$9,""),IFERROR(INDEX(ShiftKnowledge!$F$2:$F$9,MATCH($B416&amp;"|"&amp;$D416,ShiftKnowledge!$A$2:$A$9,0)),"")))</f>
        <v/>
      </c>
      <c r="J416" s="6">
        <f>IF($D416="Custom","",IFERROR(XLOOKUP($B416&amp;"|"&amp;$D416,ShiftKnowledge!$A$2:$A$9,ShiftKnowledge!$G$2:$G$9,""),IFERROR(INDEX(ShiftKnowledge!$G$2:$G$9,MATCH($B416&amp;"|"&amp;$D416,ShiftKnowledge!$A$2:$A$9,0)),"")))</f>
        <v/>
      </c>
      <c r="K416" s="6">
        <f>IF($D416="Custom","",IFERROR(XLOOKUP($B416&amp;"|"&amp;$D416,ShiftKnowledge!$A$2:$A$9,ShiftKnowledge!$H$2:$H$9,""),IFERROR(INDEX(ShiftKnowledge!$H$2:$H$9,MATCH($B416&amp;"|"&amp;$D416,ShiftKnowledge!$A$2:$A$9,0)),"")))</f>
        <v/>
      </c>
      <c r="L416" s="6">
        <f>IF($D416="Custom","",IFERROR(XLOOKUP($B416&amp;"|"&amp;$D416,ShiftKnowledge!$A$2:$A$9,ShiftKnowledge!$I$2:$I$9,""),IFERROR(INDEX(ShiftKnowledge!$I$2:$I$9,MATCH($B416&amp;"|"&amp;$D416,ShiftKnowledge!$A$2:$A$9,0)),"")))</f>
        <v/>
      </c>
      <c r="M416" s="6" t="inlineStr"/>
    </row>
    <row r="417" ht="20" customHeight="1">
      <c r="A417" s="4" t="inlineStr">
        <is>
          <t>18/11/2025</t>
        </is>
      </c>
      <c r="B417" s="4" t="inlineStr">
        <is>
          <t>Internal Medicine</t>
        </is>
      </c>
      <c r="C417" s="5" t="inlineStr">
        <is>
          <t>Dr. Hatem Hassan Mohamed Abdelhafez</t>
        </is>
      </c>
      <c r="D417" s="4" t="inlineStr"/>
      <c r="E417" s="4">
        <f>IF($D417="Custom","",IFERROR(XLOOKUP($B417&amp;"|"&amp;$D417,ShiftKnowledge!$A$2:$A$9,ShiftKnowledge!$D$2:$D$9,""),IFERROR(INDEX(ShiftKnowledge!$D$2:$D$9,MATCH($B417&amp;"|"&amp;$D417,ShiftKnowledge!$A$2:$A$9,0)),"")))</f>
        <v/>
      </c>
      <c r="F417" s="4" t="inlineStr"/>
      <c r="G417" s="4">
        <f>IF(AND($I417="",$L417=""),"",IFERROR(VALUE($I417),0)+IFERROR(VALUE($L417),0))</f>
        <v/>
      </c>
      <c r="H417" s="4">
        <f>IF($D417="Custom","",IFERROR(XLOOKUP($B417&amp;"|"&amp;$D417,ShiftKnowledge!$A$2:$A$9,ShiftKnowledge!$E$2:$E$9,""),IFERROR(INDEX(ShiftKnowledge!$E$2:$E$9,MATCH($B417&amp;"|"&amp;$D417,ShiftKnowledge!$A$2:$A$9,0)),"")))</f>
        <v/>
      </c>
      <c r="I417" s="4">
        <f>IF($D417="Custom","",IFERROR(XLOOKUP($B417&amp;"|"&amp;$D417,ShiftKnowledge!$A$2:$A$9,ShiftKnowledge!$F$2:$F$9,""),IFERROR(INDEX(ShiftKnowledge!$F$2:$F$9,MATCH($B417&amp;"|"&amp;$D417,ShiftKnowledge!$A$2:$A$9,0)),"")))</f>
        <v/>
      </c>
      <c r="J417" s="4">
        <f>IF($D417="Custom","",IFERROR(XLOOKUP($B417&amp;"|"&amp;$D417,ShiftKnowledge!$A$2:$A$9,ShiftKnowledge!$G$2:$G$9,""),IFERROR(INDEX(ShiftKnowledge!$G$2:$G$9,MATCH($B417&amp;"|"&amp;$D417,ShiftKnowledge!$A$2:$A$9,0)),"")))</f>
        <v/>
      </c>
      <c r="K417" s="4">
        <f>IF($D417="Custom","",IFERROR(XLOOKUP($B417&amp;"|"&amp;$D417,ShiftKnowledge!$A$2:$A$9,ShiftKnowledge!$H$2:$H$9,""),IFERROR(INDEX(ShiftKnowledge!$H$2:$H$9,MATCH($B417&amp;"|"&amp;$D417,ShiftKnowledge!$A$2:$A$9,0)),"")))</f>
        <v/>
      </c>
      <c r="L417" s="4">
        <f>IF($D417="Custom","",IFERROR(XLOOKUP($B417&amp;"|"&amp;$D417,ShiftKnowledge!$A$2:$A$9,ShiftKnowledge!$I$2:$I$9,""),IFERROR(INDEX(ShiftKnowledge!$I$2:$I$9,MATCH($B417&amp;"|"&amp;$D417,ShiftKnowledge!$A$2:$A$9,0)),"")))</f>
        <v/>
      </c>
      <c r="M417" s="4" t="inlineStr"/>
    </row>
    <row r="418" ht="20" customHeight="1">
      <c r="A418" s="6" t="inlineStr">
        <is>
          <t>18/11/2025</t>
        </is>
      </c>
      <c r="B418" s="6" t="inlineStr">
        <is>
          <t>Gynaecology</t>
        </is>
      </c>
      <c r="C418" s="7" t="inlineStr">
        <is>
          <t>Dr. Hawwa Inaya</t>
        </is>
      </c>
      <c r="D418" s="6" t="inlineStr"/>
      <c r="E418" s="6">
        <f>IF($D418="Custom","",IFERROR(XLOOKUP($B418&amp;"|"&amp;$D418,ShiftKnowledge!$A$2:$A$9,ShiftKnowledge!$D$2:$D$9,""),IFERROR(INDEX(ShiftKnowledge!$D$2:$D$9,MATCH($B418&amp;"|"&amp;$D418,ShiftKnowledge!$A$2:$A$9,0)),"")))</f>
        <v/>
      </c>
      <c r="F418" s="6" t="inlineStr"/>
      <c r="G418" s="6">
        <f>IF(AND($I418="",$L418=""),"",IFERROR(VALUE($I418),0)+IFERROR(VALUE($L418),0))</f>
        <v/>
      </c>
      <c r="H418" s="6">
        <f>IF($D418="Custom","",IFERROR(XLOOKUP($B418&amp;"|"&amp;$D418,ShiftKnowledge!$A$2:$A$9,ShiftKnowledge!$E$2:$E$9,""),IFERROR(INDEX(ShiftKnowledge!$E$2:$E$9,MATCH($B418&amp;"|"&amp;$D418,ShiftKnowledge!$A$2:$A$9,0)),"")))</f>
        <v/>
      </c>
      <c r="I418" s="6">
        <f>IF($D418="Custom","",IFERROR(XLOOKUP($B418&amp;"|"&amp;$D418,ShiftKnowledge!$A$2:$A$9,ShiftKnowledge!$F$2:$F$9,""),IFERROR(INDEX(ShiftKnowledge!$F$2:$F$9,MATCH($B418&amp;"|"&amp;$D418,ShiftKnowledge!$A$2:$A$9,0)),"")))</f>
        <v/>
      </c>
      <c r="J418" s="6">
        <f>IF($D418="Custom","",IFERROR(XLOOKUP($B418&amp;"|"&amp;$D418,ShiftKnowledge!$A$2:$A$9,ShiftKnowledge!$G$2:$G$9,""),IFERROR(INDEX(ShiftKnowledge!$G$2:$G$9,MATCH($B418&amp;"|"&amp;$D418,ShiftKnowledge!$A$2:$A$9,0)),"")))</f>
        <v/>
      </c>
      <c r="K418" s="6">
        <f>IF($D418="Custom","",IFERROR(XLOOKUP($B418&amp;"|"&amp;$D418,ShiftKnowledge!$A$2:$A$9,ShiftKnowledge!$H$2:$H$9,""),IFERROR(INDEX(ShiftKnowledge!$H$2:$H$9,MATCH($B418&amp;"|"&amp;$D418,ShiftKnowledge!$A$2:$A$9,0)),"")))</f>
        <v/>
      </c>
      <c r="L418" s="6">
        <f>IF($D418="Custom","",IFERROR(XLOOKUP($B418&amp;"|"&amp;$D418,ShiftKnowledge!$A$2:$A$9,ShiftKnowledge!$I$2:$I$9,""),IFERROR(INDEX(ShiftKnowledge!$I$2:$I$9,MATCH($B418&amp;"|"&amp;$D418,ShiftKnowledge!$A$2:$A$9,0)),"")))</f>
        <v/>
      </c>
      <c r="M418" s="6" t="inlineStr"/>
    </row>
    <row r="419" ht="20" customHeight="1">
      <c r="A419" s="4" t="inlineStr">
        <is>
          <t>18/11/2025</t>
        </is>
      </c>
      <c r="B419" s="4" t="inlineStr">
        <is>
          <t>Gynaecology</t>
        </is>
      </c>
      <c r="C419" s="5" t="inlineStr">
        <is>
          <t>Dr. Joshila Chanu Yumnam Bhattarai</t>
        </is>
      </c>
      <c r="D419" s="4" t="inlineStr"/>
      <c r="E419" s="4">
        <f>IF($D419="Custom","",IFERROR(XLOOKUP($B419&amp;"|"&amp;$D419,ShiftKnowledge!$A$2:$A$9,ShiftKnowledge!$D$2:$D$9,""),IFERROR(INDEX(ShiftKnowledge!$D$2:$D$9,MATCH($B419&amp;"|"&amp;$D419,ShiftKnowledge!$A$2:$A$9,0)),"")))</f>
        <v/>
      </c>
      <c r="F419" s="4" t="inlineStr"/>
      <c r="G419" s="4">
        <f>IF(AND($I419="",$L419=""),"",IFERROR(VALUE($I419),0)+IFERROR(VALUE($L419),0))</f>
        <v/>
      </c>
      <c r="H419" s="4">
        <f>IF($D419="Custom","",IFERROR(XLOOKUP($B419&amp;"|"&amp;$D419,ShiftKnowledge!$A$2:$A$9,ShiftKnowledge!$E$2:$E$9,""),IFERROR(INDEX(ShiftKnowledge!$E$2:$E$9,MATCH($B419&amp;"|"&amp;$D419,ShiftKnowledge!$A$2:$A$9,0)),"")))</f>
        <v/>
      </c>
      <c r="I419" s="4">
        <f>IF($D419="Custom","",IFERROR(XLOOKUP($B419&amp;"|"&amp;$D419,ShiftKnowledge!$A$2:$A$9,ShiftKnowledge!$F$2:$F$9,""),IFERROR(INDEX(ShiftKnowledge!$F$2:$F$9,MATCH($B419&amp;"|"&amp;$D419,ShiftKnowledge!$A$2:$A$9,0)),"")))</f>
        <v/>
      </c>
      <c r="J419" s="4">
        <f>IF($D419="Custom","",IFERROR(XLOOKUP($B419&amp;"|"&amp;$D419,ShiftKnowledge!$A$2:$A$9,ShiftKnowledge!$G$2:$G$9,""),IFERROR(INDEX(ShiftKnowledge!$G$2:$G$9,MATCH($B419&amp;"|"&amp;$D419,ShiftKnowledge!$A$2:$A$9,0)),"")))</f>
        <v/>
      </c>
      <c r="K419" s="4">
        <f>IF($D419="Custom","",IFERROR(XLOOKUP($B419&amp;"|"&amp;$D419,ShiftKnowledge!$A$2:$A$9,ShiftKnowledge!$H$2:$H$9,""),IFERROR(INDEX(ShiftKnowledge!$H$2:$H$9,MATCH($B419&amp;"|"&amp;$D419,ShiftKnowledge!$A$2:$A$9,0)),"")))</f>
        <v/>
      </c>
      <c r="L419" s="4">
        <f>IF($D419="Custom","",IFERROR(XLOOKUP($B419&amp;"|"&amp;$D419,ShiftKnowledge!$A$2:$A$9,ShiftKnowledge!$I$2:$I$9,""),IFERROR(INDEX(ShiftKnowledge!$I$2:$I$9,MATCH($B419&amp;"|"&amp;$D419,ShiftKnowledge!$A$2:$A$9,0)),"")))</f>
        <v/>
      </c>
      <c r="M419" s="4" t="inlineStr"/>
    </row>
    <row r="420" ht="20" customHeight="1">
      <c r="A420" s="6" t="inlineStr">
        <is>
          <t>18/11/2025</t>
        </is>
      </c>
      <c r="B420" s="6" t="inlineStr">
        <is>
          <t>Gynaecology</t>
        </is>
      </c>
      <c r="C420" s="7" t="inlineStr">
        <is>
          <t>Dr. Jumailath Beygum</t>
        </is>
      </c>
      <c r="D420" s="6" t="inlineStr"/>
      <c r="E420" s="6">
        <f>IF($D420="Custom","",IFERROR(XLOOKUP($B420&amp;"|"&amp;$D420,ShiftKnowledge!$A$2:$A$9,ShiftKnowledge!$D$2:$D$9,""),IFERROR(INDEX(ShiftKnowledge!$D$2:$D$9,MATCH($B420&amp;"|"&amp;$D420,ShiftKnowledge!$A$2:$A$9,0)),"")))</f>
        <v/>
      </c>
      <c r="F420" s="6" t="inlineStr"/>
      <c r="G420" s="6">
        <f>IF(AND($I420="",$L420=""),"",IFERROR(VALUE($I420),0)+IFERROR(VALUE($L420),0))</f>
        <v/>
      </c>
      <c r="H420" s="6">
        <f>IF($D420="Custom","",IFERROR(XLOOKUP($B420&amp;"|"&amp;$D420,ShiftKnowledge!$A$2:$A$9,ShiftKnowledge!$E$2:$E$9,""),IFERROR(INDEX(ShiftKnowledge!$E$2:$E$9,MATCH($B420&amp;"|"&amp;$D420,ShiftKnowledge!$A$2:$A$9,0)),"")))</f>
        <v/>
      </c>
      <c r="I420" s="6">
        <f>IF($D420="Custom","",IFERROR(XLOOKUP($B420&amp;"|"&amp;$D420,ShiftKnowledge!$A$2:$A$9,ShiftKnowledge!$F$2:$F$9,""),IFERROR(INDEX(ShiftKnowledge!$F$2:$F$9,MATCH($B420&amp;"|"&amp;$D420,ShiftKnowledge!$A$2:$A$9,0)),"")))</f>
        <v/>
      </c>
      <c r="J420" s="6">
        <f>IF($D420="Custom","",IFERROR(XLOOKUP($B420&amp;"|"&amp;$D420,ShiftKnowledge!$A$2:$A$9,ShiftKnowledge!$G$2:$G$9,""),IFERROR(INDEX(ShiftKnowledge!$G$2:$G$9,MATCH($B420&amp;"|"&amp;$D420,ShiftKnowledge!$A$2:$A$9,0)),"")))</f>
        <v/>
      </c>
      <c r="K420" s="6">
        <f>IF($D420="Custom","",IFERROR(XLOOKUP($B420&amp;"|"&amp;$D420,ShiftKnowledge!$A$2:$A$9,ShiftKnowledge!$H$2:$H$9,""),IFERROR(INDEX(ShiftKnowledge!$H$2:$H$9,MATCH($B420&amp;"|"&amp;$D420,ShiftKnowledge!$A$2:$A$9,0)),"")))</f>
        <v/>
      </c>
      <c r="L420" s="6">
        <f>IF($D420="Custom","",IFERROR(XLOOKUP($B420&amp;"|"&amp;$D420,ShiftKnowledge!$A$2:$A$9,ShiftKnowledge!$I$2:$I$9,""),IFERROR(INDEX(ShiftKnowledge!$I$2:$I$9,MATCH($B420&amp;"|"&amp;$D420,ShiftKnowledge!$A$2:$A$9,0)),"")))</f>
        <v/>
      </c>
      <c r="M420" s="6" t="inlineStr"/>
    </row>
    <row r="421" ht="20" customHeight="1">
      <c r="A421" s="4" t="inlineStr">
        <is>
          <t>18/11/2025</t>
        </is>
      </c>
      <c r="B421" s="4" t="inlineStr">
        <is>
          <t>General Surgery</t>
        </is>
      </c>
      <c r="C421" s="5" t="inlineStr">
        <is>
          <t>Dr. Khine Su Kyi</t>
        </is>
      </c>
      <c r="D421" s="4" t="inlineStr"/>
      <c r="E421" s="4">
        <f>IF($D421="Custom","",IFERROR(XLOOKUP($B421&amp;"|"&amp;$D421,ShiftKnowledge!$A$2:$A$9,ShiftKnowledge!$D$2:$D$9,""),IFERROR(INDEX(ShiftKnowledge!$D$2:$D$9,MATCH($B421&amp;"|"&amp;$D421,ShiftKnowledge!$A$2:$A$9,0)),"")))</f>
        <v/>
      </c>
      <c r="F421" s="4" t="inlineStr"/>
      <c r="G421" s="4">
        <f>IF(AND($I421="",$L421=""),"",IFERROR(VALUE($I421),0)+IFERROR(VALUE($L421),0))</f>
        <v/>
      </c>
      <c r="H421" s="4">
        <f>IF($D421="Custom","",IFERROR(XLOOKUP($B421&amp;"|"&amp;$D421,ShiftKnowledge!$A$2:$A$9,ShiftKnowledge!$E$2:$E$9,""),IFERROR(INDEX(ShiftKnowledge!$E$2:$E$9,MATCH($B421&amp;"|"&amp;$D421,ShiftKnowledge!$A$2:$A$9,0)),"")))</f>
        <v/>
      </c>
      <c r="I421" s="4">
        <f>IF($D421="Custom","",IFERROR(XLOOKUP($B421&amp;"|"&amp;$D421,ShiftKnowledge!$A$2:$A$9,ShiftKnowledge!$F$2:$F$9,""),IFERROR(INDEX(ShiftKnowledge!$F$2:$F$9,MATCH($B421&amp;"|"&amp;$D421,ShiftKnowledge!$A$2:$A$9,0)),"")))</f>
        <v/>
      </c>
      <c r="J421" s="4">
        <f>IF($D421="Custom","",IFERROR(XLOOKUP($B421&amp;"|"&amp;$D421,ShiftKnowledge!$A$2:$A$9,ShiftKnowledge!$G$2:$G$9,""),IFERROR(INDEX(ShiftKnowledge!$G$2:$G$9,MATCH($B421&amp;"|"&amp;$D421,ShiftKnowledge!$A$2:$A$9,0)),"")))</f>
        <v/>
      </c>
      <c r="K421" s="4">
        <f>IF($D421="Custom","",IFERROR(XLOOKUP($B421&amp;"|"&amp;$D421,ShiftKnowledge!$A$2:$A$9,ShiftKnowledge!$H$2:$H$9,""),IFERROR(INDEX(ShiftKnowledge!$H$2:$H$9,MATCH($B421&amp;"|"&amp;$D421,ShiftKnowledge!$A$2:$A$9,0)),"")))</f>
        <v/>
      </c>
      <c r="L421" s="4">
        <f>IF($D421="Custom","",IFERROR(XLOOKUP($B421&amp;"|"&amp;$D421,ShiftKnowledge!$A$2:$A$9,ShiftKnowledge!$I$2:$I$9,""),IFERROR(INDEX(ShiftKnowledge!$I$2:$I$9,MATCH($B421&amp;"|"&amp;$D421,ShiftKnowledge!$A$2:$A$9,0)),"")))</f>
        <v/>
      </c>
      <c r="M421" s="4" t="inlineStr"/>
    </row>
    <row r="422" ht="20" customHeight="1">
      <c r="A422" s="6" t="inlineStr">
        <is>
          <t>18/11/2025</t>
        </is>
      </c>
      <c r="B422" s="6" t="inlineStr">
        <is>
          <t>Dental</t>
        </is>
      </c>
      <c r="C422" s="7" t="inlineStr">
        <is>
          <t>Dr. Mariyam Afza Zuhair</t>
        </is>
      </c>
      <c r="D422" s="6" t="inlineStr"/>
      <c r="E422" s="6">
        <f>IF($D422="Custom","",IFERROR(XLOOKUP($B422&amp;"|"&amp;$D422,ShiftKnowledge!$A$2:$A$9,ShiftKnowledge!$D$2:$D$9,""),IFERROR(INDEX(ShiftKnowledge!$D$2:$D$9,MATCH($B422&amp;"|"&amp;$D422,ShiftKnowledge!$A$2:$A$9,0)),"")))</f>
        <v/>
      </c>
      <c r="F422" s="6" t="inlineStr"/>
      <c r="G422" s="6">
        <f>IF(AND($I422="",$L422=""),"",IFERROR(VALUE($I422),0)+IFERROR(VALUE($L422),0))</f>
        <v/>
      </c>
      <c r="H422" s="6">
        <f>IF($D422="Custom","",IFERROR(XLOOKUP($B422&amp;"|"&amp;$D422,ShiftKnowledge!$A$2:$A$9,ShiftKnowledge!$E$2:$E$9,""),IFERROR(INDEX(ShiftKnowledge!$E$2:$E$9,MATCH($B422&amp;"|"&amp;$D422,ShiftKnowledge!$A$2:$A$9,0)),"")))</f>
        <v/>
      </c>
      <c r="I422" s="6">
        <f>IF($D422="Custom","",IFERROR(XLOOKUP($B422&amp;"|"&amp;$D422,ShiftKnowledge!$A$2:$A$9,ShiftKnowledge!$F$2:$F$9,""),IFERROR(INDEX(ShiftKnowledge!$F$2:$F$9,MATCH($B422&amp;"|"&amp;$D422,ShiftKnowledge!$A$2:$A$9,0)),"")))</f>
        <v/>
      </c>
      <c r="J422" s="6">
        <f>IF($D422="Custom","",IFERROR(XLOOKUP($B422&amp;"|"&amp;$D422,ShiftKnowledge!$A$2:$A$9,ShiftKnowledge!$G$2:$G$9,""),IFERROR(INDEX(ShiftKnowledge!$G$2:$G$9,MATCH($B422&amp;"|"&amp;$D422,ShiftKnowledge!$A$2:$A$9,0)),"")))</f>
        <v/>
      </c>
      <c r="K422" s="6">
        <f>IF($D422="Custom","",IFERROR(XLOOKUP($B422&amp;"|"&amp;$D422,ShiftKnowledge!$A$2:$A$9,ShiftKnowledge!$H$2:$H$9,""),IFERROR(INDEX(ShiftKnowledge!$H$2:$H$9,MATCH($B422&amp;"|"&amp;$D422,ShiftKnowledge!$A$2:$A$9,0)),"")))</f>
        <v/>
      </c>
      <c r="L422" s="6">
        <f>IF($D422="Custom","",IFERROR(XLOOKUP($B422&amp;"|"&amp;$D422,ShiftKnowledge!$A$2:$A$9,ShiftKnowledge!$I$2:$I$9,""),IFERROR(INDEX(ShiftKnowledge!$I$2:$I$9,MATCH($B422&amp;"|"&amp;$D422,ShiftKnowledge!$A$2:$A$9,0)),"")))</f>
        <v/>
      </c>
      <c r="M422" s="6" t="inlineStr"/>
    </row>
    <row r="423" ht="20" customHeight="1">
      <c r="A423" s="4" t="inlineStr">
        <is>
          <t>18/11/2025</t>
        </is>
      </c>
      <c r="B423" s="4" t="inlineStr">
        <is>
          <t>Psychiatry</t>
        </is>
      </c>
      <c r="C423" s="5" t="inlineStr">
        <is>
          <t>Dr. Maumoon Shareef</t>
        </is>
      </c>
      <c r="D423" s="4" t="inlineStr"/>
      <c r="E423" s="4">
        <f>IF($D423="Custom","",IFERROR(XLOOKUP($B423&amp;"|"&amp;$D423,ShiftKnowledge!$A$2:$A$9,ShiftKnowledge!$D$2:$D$9,""),IFERROR(INDEX(ShiftKnowledge!$D$2:$D$9,MATCH($B423&amp;"|"&amp;$D423,ShiftKnowledge!$A$2:$A$9,0)),"")))</f>
        <v/>
      </c>
      <c r="F423" s="4" t="inlineStr"/>
      <c r="G423" s="4">
        <f>IF(AND($I423="",$L423=""),"",IFERROR(VALUE($I423),0)+IFERROR(VALUE($L423),0))</f>
        <v/>
      </c>
      <c r="H423" s="4">
        <f>IF($D423="Custom","",IFERROR(XLOOKUP($B423&amp;"|"&amp;$D423,ShiftKnowledge!$A$2:$A$9,ShiftKnowledge!$E$2:$E$9,""),IFERROR(INDEX(ShiftKnowledge!$E$2:$E$9,MATCH($B423&amp;"|"&amp;$D423,ShiftKnowledge!$A$2:$A$9,0)),"")))</f>
        <v/>
      </c>
      <c r="I423" s="4">
        <f>IF($D423="Custom","",IFERROR(XLOOKUP($B423&amp;"|"&amp;$D423,ShiftKnowledge!$A$2:$A$9,ShiftKnowledge!$F$2:$F$9,""),IFERROR(INDEX(ShiftKnowledge!$F$2:$F$9,MATCH($B423&amp;"|"&amp;$D423,ShiftKnowledge!$A$2:$A$9,0)),"")))</f>
        <v/>
      </c>
      <c r="J423" s="4">
        <f>IF($D423="Custom","",IFERROR(XLOOKUP($B423&amp;"|"&amp;$D423,ShiftKnowledge!$A$2:$A$9,ShiftKnowledge!$G$2:$G$9,""),IFERROR(INDEX(ShiftKnowledge!$G$2:$G$9,MATCH($B423&amp;"|"&amp;$D423,ShiftKnowledge!$A$2:$A$9,0)),"")))</f>
        <v/>
      </c>
      <c r="K423" s="4">
        <f>IF($D423="Custom","",IFERROR(XLOOKUP($B423&amp;"|"&amp;$D423,ShiftKnowledge!$A$2:$A$9,ShiftKnowledge!$H$2:$H$9,""),IFERROR(INDEX(ShiftKnowledge!$H$2:$H$9,MATCH($B423&amp;"|"&amp;$D423,ShiftKnowledge!$A$2:$A$9,0)),"")))</f>
        <v/>
      </c>
      <c r="L423" s="4">
        <f>IF($D423="Custom","",IFERROR(XLOOKUP($B423&amp;"|"&amp;$D423,ShiftKnowledge!$A$2:$A$9,ShiftKnowledge!$I$2:$I$9,""),IFERROR(INDEX(ShiftKnowledge!$I$2:$I$9,MATCH($B423&amp;"|"&amp;$D423,ShiftKnowledge!$A$2:$A$9,0)),"")))</f>
        <v/>
      </c>
      <c r="M423" s="4" t="inlineStr"/>
    </row>
    <row r="424" ht="20" customHeight="1">
      <c r="A424" s="6" t="inlineStr">
        <is>
          <t>18/11/2025</t>
        </is>
      </c>
      <c r="B424" s="6" t="inlineStr">
        <is>
          <t>Internal Medicine</t>
        </is>
      </c>
      <c r="C424" s="7" t="inlineStr">
        <is>
          <t>Dr. Mihuna Ibrahim</t>
        </is>
      </c>
      <c r="D424" s="6" t="inlineStr"/>
      <c r="E424" s="6">
        <f>IF($D424="Custom","",IFERROR(XLOOKUP($B424&amp;"|"&amp;$D424,ShiftKnowledge!$A$2:$A$9,ShiftKnowledge!$D$2:$D$9,""),IFERROR(INDEX(ShiftKnowledge!$D$2:$D$9,MATCH($B424&amp;"|"&amp;$D424,ShiftKnowledge!$A$2:$A$9,0)),"")))</f>
        <v/>
      </c>
      <c r="F424" s="6" t="inlineStr"/>
      <c r="G424" s="6">
        <f>IF(AND($I424="",$L424=""),"",IFERROR(VALUE($I424),0)+IFERROR(VALUE($L424),0))</f>
        <v/>
      </c>
      <c r="H424" s="6">
        <f>IF($D424="Custom","",IFERROR(XLOOKUP($B424&amp;"|"&amp;$D424,ShiftKnowledge!$A$2:$A$9,ShiftKnowledge!$E$2:$E$9,""),IFERROR(INDEX(ShiftKnowledge!$E$2:$E$9,MATCH($B424&amp;"|"&amp;$D424,ShiftKnowledge!$A$2:$A$9,0)),"")))</f>
        <v/>
      </c>
      <c r="I424" s="6">
        <f>IF($D424="Custom","",IFERROR(XLOOKUP($B424&amp;"|"&amp;$D424,ShiftKnowledge!$A$2:$A$9,ShiftKnowledge!$F$2:$F$9,""),IFERROR(INDEX(ShiftKnowledge!$F$2:$F$9,MATCH($B424&amp;"|"&amp;$D424,ShiftKnowledge!$A$2:$A$9,0)),"")))</f>
        <v/>
      </c>
      <c r="J424" s="6">
        <f>IF($D424="Custom","",IFERROR(XLOOKUP($B424&amp;"|"&amp;$D424,ShiftKnowledge!$A$2:$A$9,ShiftKnowledge!$G$2:$G$9,""),IFERROR(INDEX(ShiftKnowledge!$G$2:$G$9,MATCH($B424&amp;"|"&amp;$D424,ShiftKnowledge!$A$2:$A$9,0)),"")))</f>
        <v/>
      </c>
      <c r="K424" s="6">
        <f>IF($D424="Custom","",IFERROR(XLOOKUP($B424&amp;"|"&amp;$D424,ShiftKnowledge!$A$2:$A$9,ShiftKnowledge!$H$2:$H$9,""),IFERROR(INDEX(ShiftKnowledge!$H$2:$H$9,MATCH($B424&amp;"|"&amp;$D424,ShiftKnowledge!$A$2:$A$9,0)),"")))</f>
        <v/>
      </c>
      <c r="L424" s="6">
        <f>IF($D424="Custom","",IFERROR(XLOOKUP($B424&amp;"|"&amp;$D424,ShiftKnowledge!$A$2:$A$9,ShiftKnowledge!$I$2:$I$9,""),IFERROR(INDEX(ShiftKnowledge!$I$2:$I$9,MATCH($B424&amp;"|"&amp;$D424,ShiftKnowledge!$A$2:$A$9,0)),"")))</f>
        <v/>
      </c>
      <c r="M424" s="6" t="inlineStr"/>
    </row>
    <row r="425" ht="20" customHeight="1">
      <c r="A425" s="4" t="inlineStr">
        <is>
          <t>18/11/2025</t>
        </is>
      </c>
      <c r="B425" s="4" t="inlineStr">
        <is>
          <t>Endocrinology</t>
        </is>
      </c>
      <c r="C425" s="5" t="inlineStr">
        <is>
          <t>Dr. Mohamed Wisham</t>
        </is>
      </c>
      <c r="D425" s="4" t="inlineStr"/>
      <c r="E425" s="4">
        <f>IF($D425="Custom","",IFERROR(XLOOKUP($B425&amp;"|"&amp;$D425,ShiftKnowledge!$A$2:$A$9,ShiftKnowledge!$D$2:$D$9,""),IFERROR(INDEX(ShiftKnowledge!$D$2:$D$9,MATCH($B425&amp;"|"&amp;$D425,ShiftKnowledge!$A$2:$A$9,0)),"")))</f>
        <v/>
      </c>
      <c r="F425" s="4" t="inlineStr"/>
      <c r="G425" s="4">
        <f>IF(AND($I425="",$L425=""),"",IFERROR(VALUE($I425),0)+IFERROR(VALUE($L425),0))</f>
        <v/>
      </c>
      <c r="H425" s="4">
        <f>IF($D425="Custom","",IFERROR(XLOOKUP($B425&amp;"|"&amp;$D425,ShiftKnowledge!$A$2:$A$9,ShiftKnowledge!$E$2:$E$9,""),IFERROR(INDEX(ShiftKnowledge!$E$2:$E$9,MATCH($B425&amp;"|"&amp;$D425,ShiftKnowledge!$A$2:$A$9,0)),"")))</f>
        <v/>
      </c>
      <c r="I425" s="4">
        <f>IF($D425="Custom","",IFERROR(XLOOKUP($B425&amp;"|"&amp;$D425,ShiftKnowledge!$A$2:$A$9,ShiftKnowledge!$F$2:$F$9,""),IFERROR(INDEX(ShiftKnowledge!$F$2:$F$9,MATCH($B425&amp;"|"&amp;$D425,ShiftKnowledge!$A$2:$A$9,0)),"")))</f>
        <v/>
      </c>
      <c r="J425" s="4">
        <f>IF($D425="Custom","",IFERROR(XLOOKUP($B425&amp;"|"&amp;$D425,ShiftKnowledge!$A$2:$A$9,ShiftKnowledge!$G$2:$G$9,""),IFERROR(INDEX(ShiftKnowledge!$G$2:$G$9,MATCH($B425&amp;"|"&amp;$D425,ShiftKnowledge!$A$2:$A$9,0)),"")))</f>
        <v/>
      </c>
      <c r="K425" s="4">
        <f>IF($D425="Custom","",IFERROR(XLOOKUP($B425&amp;"|"&amp;$D425,ShiftKnowledge!$A$2:$A$9,ShiftKnowledge!$H$2:$H$9,""),IFERROR(INDEX(ShiftKnowledge!$H$2:$H$9,MATCH($B425&amp;"|"&amp;$D425,ShiftKnowledge!$A$2:$A$9,0)),"")))</f>
        <v/>
      </c>
      <c r="L425" s="4">
        <f>IF($D425="Custom","",IFERROR(XLOOKUP($B425&amp;"|"&amp;$D425,ShiftKnowledge!$A$2:$A$9,ShiftKnowledge!$I$2:$I$9,""),IFERROR(INDEX(ShiftKnowledge!$I$2:$I$9,MATCH($B425&amp;"|"&amp;$D425,ShiftKnowledge!$A$2:$A$9,0)),"")))</f>
        <v/>
      </c>
      <c r="M425" s="4" t="inlineStr"/>
    </row>
    <row r="426" ht="20" customHeight="1">
      <c r="A426" s="6" t="inlineStr">
        <is>
          <t>18/11/2025</t>
        </is>
      </c>
      <c r="B426" s="6" t="inlineStr">
        <is>
          <t>Cardiology</t>
        </is>
      </c>
      <c r="C426" s="7" t="inlineStr">
        <is>
          <t>Dr. Moosa Manik</t>
        </is>
      </c>
      <c r="D426" s="6" t="inlineStr"/>
      <c r="E426" s="6">
        <f>IF($D426="Custom","",IFERROR(XLOOKUP($B426&amp;"|"&amp;$D426,ShiftKnowledge!$A$2:$A$9,ShiftKnowledge!$D$2:$D$9,""),IFERROR(INDEX(ShiftKnowledge!$D$2:$D$9,MATCH($B426&amp;"|"&amp;$D426,ShiftKnowledge!$A$2:$A$9,0)),"")))</f>
        <v/>
      </c>
      <c r="F426" s="6" t="inlineStr"/>
      <c r="G426" s="6">
        <f>IF(AND($I426="",$L426=""),"",IFERROR(VALUE($I426),0)+IFERROR(VALUE($L426),0))</f>
        <v/>
      </c>
      <c r="H426" s="6">
        <f>IF($D426="Custom","",IFERROR(XLOOKUP($B426&amp;"|"&amp;$D426,ShiftKnowledge!$A$2:$A$9,ShiftKnowledge!$E$2:$E$9,""),IFERROR(INDEX(ShiftKnowledge!$E$2:$E$9,MATCH($B426&amp;"|"&amp;$D426,ShiftKnowledge!$A$2:$A$9,0)),"")))</f>
        <v/>
      </c>
      <c r="I426" s="6">
        <f>IF($D426="Custom","",IFERROR(XLOOKUP($B426&amp;"|"&amp;$D426,ShiftKnowledge!$A$2:$A$9,ShiftKnowledge!$F$2:$F$9,""),IFERROR(INDEX(ShiftKnowledge!$F$2:$F$9,MATCH($B426&amp;"|"&amp;$D426,ShiftKnowledge!$A$2:$A$9,0)),"")))</f>
        <v/>
      </c>
      <c r="J426" s="6">
        <f>IF($D426="Custom","",IFERROR(XLOOKUP($B426&amp;"|"&amp;$D426,ShiftKnowledge!$A$2:$A$9,ShiftKnowledge!$G$2:$G$9,""),IFERROR(INDEX(ShiftKnowledge!$G$2:$G$9,MATCH($B426&amp;"|"&amp;$D426,ShiftKnowledge!$A$2:$A$9,0)),"")))</f>
        <v/>
      </c>
      <c r="K426" s="6">
        <f>IF($D426="Custom","",IFERROR(XLOOKUP($B426&amp;"|"&amp;$D426,ShiftKnowledge!$A$2:$A$9,ShiftKnowledge!$H$2:$H$9,""),IFERROR(INDEX(ShiftKnowledge!$H$2:$H$9,MATCH($B426&amp;"|"&amp;$D426,ShiftKnowledge!$A$2:$A$9,0)),"")))</f>
        <v/>
      </c>
      <c r="L426" s="6">
        <f>IF($D426="Custom","",IFERROR(XLOOKUP($B426&amp;"|"&amp;$D426,ShiftKnowledge!$A$2:$A$9,ShiftKnowledge!$I$2:$I$9,""),IFERROR(INDEX(ShiftKnowledge!$I$2:$I$9,MATCH($B426&amp;"|"&amp;$D426,ShiftKnowledge!$A$2:$A$9,0)),"")))</f>
        <v/>
      </c>
      <c r="M426" s="6" t="inlineStr"/>
    </row>
    <row r="427" ht="20" customHeight="1">
      <c r="A427" s="4" t="inlineStr">
        <is>
          <t>18/11/2025</t>
        </is>
      </c>
      <c r="B427" s="4" t="inlineStr">
        <is>
          <t>Nephrology</t>
        </is>
      </c>
      <c r="C427" s="5" t="inlineStr">
        <is>
          <t>Dr. Muhammad Mujtaba Ur Rehman</t>
        </is>
      </c>
      <c r="D427" s="4" t="inlineStr"/>
      <c r="E427" s="4">
        <f>IF($D427="Custom","",IFERROR(XLOOKUP($B427&amp;"|"&amp;$D427,ShiftKnowledge!$A$2:$A$9,ShiftKnowledge!$D$2:$D$9,""),IFERROR(INDEX(ShiftKnowledge!$D$2:$D$9,MATCH($B427&amp;"|"&amp;$D427,ShiftKnowledge!$A$2:$A$9,0)),"")))</f>
        <v/>
      </c>
      <c r="F427" s="4" t="inlineStr"/>
      <c r="G427" s="4">
        <f>IF(AND($I427="",$L427=""),"",IFERROR(VALUE($I427),0)+IFERROR(VALUE($L427),0))</f>
        <v/>
      </c>
      <c r="H427" s="4">
        <f>IF($D427="Custom","",IFERROR(XLOOKUP($B427&amp;"|"&amp;$D427,ShiftKnowledge!$A$2:$A$9,ShiftKnowledge!$E$2:$E$9,""),IFERROR(INDEX(ShiftKnowledge!$E$2:$E$9,MATCH($B427&amp;"|"&amp;$D427,ShiftKnowledge!$A$2:$A$9,0)),"")))</f>
        <v/>
      </c>
      <c r="I427" s="4">
        <f>IF($D427="Custom","",IFERROR(XLOOKUP($B427&amp;"|"&amp;$D427,ShiftKnowledge!$A$2:$A$9,ShiftKnowledge!$F$2:$F$9,""),IFERROR(INDEX(ShiftKnowledge!$F$2:$F$9,MATCH($B427&amp;"|"&amp;$D427,ShiftKnowledge!$A$2:$A$9,0)),"")))</f>
        <v/>
      </c>
      <c r="J427" s="4">
        <f>IF($D427="Custom","",IFERROR(XLOOKUP($B427&amp;"|"&amp;$D427,ShiftKnowledge!$A$2:$A$9,ShiftKnowledge!$G$2:$G$9,""),IFERROR(INDEX(ShiftKnowledge!$G$2:$G$9,MATCH($B427&amp;"|"&amp;$D427,ShiftKnowledge!$A$2:$A$9,0)),"")))</f>
        <v/>
      </c>
      <c r="K427" s="4">
        <f>IF($D427="Custom","",IFERROR(XLOOKUP($B427&amp;"|"&amp;$D427,ShiftKnowledge!$A$2:$A$9,ShiftKnowledge!$H$2:$H$9,""),IFERROR(INDEX(ShiftKnowledge!$H$2:$H$9,MATCH($B427&amp;"|"&amp;$D427,ShiftKnowledge!$A$2:$A$9,0)),"")))</f>
        <v/>
      </c>
      <c r="L427" s="4">
        <f>IF($D427="Custom","",IFERROR(XLOOKUP($B427&amp;"|"&amp;$D427,ShiftKnowledge!$A$2:$A$9,ShiftKnowledge!$I$2:$I$9,""),IFERROR(INDEX(ShiftKnowledge!$I$2:$I$9,MATCH($B427&amp;"|"&amp;$D427,ShiftKnowledge!$A$2:$A$9,0)),"")))</f>
        <v/>
      </c>
      <c r="M427" s="4" t="inlineStr"/>
    </row>
    <row r="428" ht="20" customHeight="1">
      <c r="A428" s="6" t="inlineStr">
        <is>
          <t>18/11/2025</t>
        </is>
      </c>
      <c r="B428" s="6" t="inlineStr">
        <is>
          <t>Ophthalmology</t>
        </is>
      </c>
      <c r="C428" s="7" t="inlineStr">
        <is>
          <t>Dr. Nafeesa Abdul Latheef</t>
        </is>
      </c>
      <c r="D428" s="6" t="inlineStr"/>
      <c r="E428" s="6">
        <f>IF($D428="Custom","",IFERROR(XLOOKUP($B428&amp;"|"&amp;$D428,ShiftKnowledge!$A$2:$A$9,ShiftKnowledge!$D$2:$D$9,""),IFERROR(INDEX(ShiftKnowledge!$D$2:$D$9,MATCH($B428&amp;"|"&amp;$D428,ShiftKnowledge!$A$2:$A$9,0)),"")))</f>
        <v/>
      </c>
      <c r="F428" s="6" t="inlineStr"/>
      <c r="G428" s="6">
        <f>IF(AND($I428="",$L428=""),"",IFERROR(VALUE($I428),0)+IFERROR(VALUE($L428),0))</f>
        <v/>
      </c>
      <c r="H428" s="6">
        <f>IF($D428="Custom","",IFERROR(XLOOKUP($B428&amp;"|"&amp;$D428,ShiftKnowledge!$A$2:$A$9,ShiftKnowledge!$E$2:$E$9,""),IFERROR(INDEX(ShiftKnowledge!$E$2:$E$9,MATCH($B428&amp;"|"&amp;$D428,ShiftKnowledge!$A$2:$A$9,0)),"")))</f>
        <v/>
      </c>
      <c r="I428" s="6">
        <f>IF($D428="Custom","",IFERROR(XLOOKUP($B428&amp;"|"&amp;$D428,ShiftKnowledge!$A$2:$A$9,ShiftKnowledge!$F$2:$F$9,""),IFERROR(INDEX(ShiftKnowledge!$F$2:$F$9,MATCH($B428&amp;"|"&amp;$D428,ShiftKnowledge!$A$2:$A$9,0)),"")))</f>
        <v/>
      </c>
      <c r="J428" s="6">
        <f>IF($D428="Custom","",IFERROR(XLOOKUP($B428&amp;"|"&amp;$D428,ShiftKnowledge!$A$2:$A$9,ShiftKnowledge!$G$2:$G$9,""),IFERROR(INDEX(ShiftKnowledge!$G$2:$G$9,MATCH($B428&amp;"|"&amp;$D428,ShiftKnowledge!$A$2:$A$9,0)),"")))</f>
        <v/>
      </c>
      <c r="K428" s="6">
        <f>IF($D428="Custom","",IFERROR(XLOOKUP($B428&amp;"|"&amp;$D428,ShiftKnowledge!$A$2:$A$9,ShiftKnowledge!$H$2:$H$9,""),IFERROR(INDEX(ShiftKnowledge!$H$2:$H$9,MATCH($B428&amp;"|"&amp;$D428,ShiftKnowledge!$A$2:$A$9,0)),"")))</f>
        <v/>
      </c>
      <c r="L428" s="6">
        <f>IF($D428="Custom","",IFERROR(XLOOKUP($B428&amp;"|"&amp;$D428,ShiftKnowledge!$A$2:$A$9,ShiftKnowledge!$I$2:$I$9,""),IFERROR(INDEX(ShiftKnowledge!$I$2:$I$9,MATCH($B428&amp;"|"&amp;$D428,ShiftKnowledge!$A$2:$A$9,0)),"")))</f>
        <v/>
      </c>
      <c r="M428" s="6" t="inlineStr"/>
    </row>
    <row r="429" ht="20" customHeight="1">
      <c r="A429" s="4" t="inlineStr">
        <is>
          <t>18/11/2025</t>
        </is>
      </c>
      <c r="B429" s="4" t="inlineStr">
        <is>
          <t>ENT</t>
        </is>
      </c>
      <c r="C429" s="5" t="inlineStr">
        <is>
          <t>Dr. Nishesh Raj Shrestha</t>
        </is>
      </c>
      <c r="D429" s="4" t="inlineStr"/>
      <c r="E429" s="4">
        <f>IF($D429="Custom","",IFERROR(XLOOKUP($B429&amp;"|"&amp;$D429,ShiftKnowledge!$A$2:$A$9,ShiftKnowledge!$D$2:$D$9,""),IFERROR(INDEX(ShiftKnowledge!$D$2:$D$9,MATCH($B429&amp;"|"&amp;$D429,ShiftKnowledge!$A$2:$A$9,0)),"")))</f>
        <v/>
      </c>
      <c r="F429" s="4" t="inlineStr"/>
      <c r="G429" s="4">
        <f>IF(AND($I429="",$L429=""),"",IFERROR(VALUE($I429),0)+IFERROR(VALUE($L429),0))</f>
        <v/>
      </c>
      <c r="H429" s="4">
        <f>IF($D429="Custom","",IFERROR(XLOOKUP($B429&amp;"|"&amp;$D429,ShiftKnowledge!$A$2:$A$9,ShiftKnowledge!$E$2:$E$9,""),IFERROR(INDEX(ShiftKnowledge!$E$2:$E$9,MATCH($B429&amp;"|"&amp;$D429,ShiftKnowledge!$A$2:$A$9,0)),"")))</f>
        <v/>
      </c>
      <c r="I429" s="4">
        <f>IF($D429="Custom","",IFERROR(XLOOKUP($B429&amp;"|"&amp;$D429,ShiftKnowledge!$A$2:$A$9,ShiftKnowledge!$F$2:$F$9,""),IFERROR(INDEX(ShiftKnowledge!$F$2:$F$9,MATCH($B429&amp;"|"&amp;$D429,ShiftKnowledge!$A$2:$A$9,0)),"")))</f>
        <v/>
      </c>
      <c r="J429" s="4">
        <f>IF($D429="Custom","",IFERROR(XLOOKUP($B429&amp;"|"&amp;$D429,ShiftKnowledge!$A$2:$A$9,ShiftKnowledge!$G$2:$G$9,""),IFERROR(INDEX(ShiftKnowledge!$G$2:$G$9,MATCH($B429&amp;"|"&amp;$D429,ShiftKnowledge!$A$2:$A$9,0)),"")))</f>
        <v/>
      </c>
      <c r="K429" s="4">
        <f>IF($D429="Custom","",IFERROR(XLOOKUP($B429&amp;"|"&amp;$D429,ShiftKnowledge!$A$2:$A$9,ShiftKnowledge!$H$2:$H$9,""),IFERROR(INDEX(ShiftKnowledge!$H$2:$H$9,MATCH($B429&amp;"|"&amp;$D429,ShiftKnowledge!$A$2:$A$9,0)),"")))</f>
        <v/>
      </c>
      <c r="L429" s="4">
        <f>IF($D429="Custom","",IFERROR(XLOOKUP($B429&amp;"|"&amp;$D429,ShiftKnowledge!$A$2:$A$9,ShiftKnowledge!$I$2:$I$9,""),IFERROR(INDEX(ShiftKnowledge!$I$2:$I$9,MATCH($B429&amp;"|"&amp;$D429,ShiftKnowledge!$A$2:$A$9,0)),"")))</f>
        <v/>
      </c>
      <c r="M429" s="4" t="inlineStr"/>
    </row>
    <row r="430" ht="20" customHeight="1">
      <c r="A430" s="6" t="inlineStr">
        <is>
          <t>18/11/2025</t>
        </is>
      </c>
      <c r="B430" s="6" t="inlineStr">
        <is>
          <t>ENT</t>
        </is>
      </c>
      <c r="C430" s="7" t="inlineStr">
        <is>
          <t>Dr. Rachit Pokharel</t>
        </is>
      </c>
      <c r="D430" s="6" t="inlineStr"/>
      <c r="E430" s="6">
        <f>IF($D430="Custom","",IFERROR(XLOOKUP($B430&amp;"|"&amp;$D430,ShiftKnowledge!$A$2:$A$9,ShiftKnowledge!$D$2:$D$9,""),IFERROR(INDEX(ShiftKnowledge!$D$2:$D$9,MATCH($B430&amp;"|"&amp;$D430,ShiftKnowledge!$A$2:$A$9,0)),"")))</f>
        <v/>
      </c>
      <c r="F430" s="6" t="inlineStr"/>
      <c r="G430" s="6">
        <f>IF(AND($I430="",$L430=""),"",IFERROR(VALUE($I430),0)+IFERROR(VALUE($L430),0))</f>
        <v/>
      </c>
      <c r="H430" s="6">
        <f>IF($D430="Custom","",IFERROR(XLOOKUP($B430&amp;"|"&amp;$D430,ShiftKnowledge!$A$2:$A$9,ShiftKnowledge!$E$2:$E$9,""),IFERROR(INDEX(ShiftKnowledge!$E$2:$E$9,MATCH($B430&amp;"|"&amp;$D430,ShiftKnowledge!$A$2:$A$9,0)),"")))</f>
        <v/>
      </c>
      <c r="I430" s="6">
        <f>IF($D430="Custom","",IFERROR(XLOOKUP($B430&amp;"|"&amp;$D430,ShiftKnowledge!$A$2:$A$9,ShiftKnowledge!$F$2:$F$9,""),IFERROR(INDEX(ShiftKnowledge!$F$2:$F$9,MATCH($B430&amp;"|"&amp;$D430,ShiftKnowledge!$A$2:$A$9,0)),"")))</f>
        <v/>
      </c>
      <c r="J430" s="6">
        <f>IF($D430="Custom","",IFERROR(XLOOKUP($B430&amp;"|"&amp;$D430,ShiftKnowledge!$A$2:$A$9,ShiftKnowledge!$G$2:$G$9,""),IFERROR(INDEX(ShiftKnowledge!$G$2:$G$9,MATCH($B430&amp;"|"&amp;$D430,ShiftKnowledge!$A$2:$A$9,0)),"")))</f>
        <v/>
      </c>
      <c r="K430" s="6">
        <f>IF($D430="Custom","",IFERROR(XLOOKUP($B430&amp;"|"&amp;$D430,ShiftKnowledge!$A$2:$A$9,ShiftKnowledge!$H$2:$H$9,""),IFERROR(INDEX(ShiftKnowledge!$H$2:$H$9,MATCH($B430&amp;"|"&amp;$D430,ShiftKnowledge!$A$2:$A$9,0)),"")))</f>
        <v/>
      </c>
      <c r="L430" s="6">
        <f>IF($D430="Custom","",IFERROR(XLOOKUP($B430&amp;"|"&amp;$D430,ShiftKnowledge!$A$2:$A$9,ShiftKnowledge!$I$2:$I$9,""),IFERROR(INDEX(ShiftKnowledge!$I$2:$I$9,MATCH($B430&amp;"|"&amp;$D430,ShiftKnowledge!$A$2:$A$9,0)),"")))</f>
        <v/>
      </c>
      <c r="M430" s="6" t="inlineStr"/>
    </row>
    <row r="431" ht="20" customHeight="1">
      <c r="A431" s="4" t="inlineStr">
        <is>
          <t>18/11/2025</t>
        </is>
      </c>
      <c r="B431" s="4" t="inlineStr">
        <is>
          <t>Ophthalmology</t>
        </is>
      </c>
      <c r="C431" s="5" t="inlineStr">
        <is>
          <t>Dr. Remon Girgis Lamee Girgis</t>
        </is>
      </c>
      <c r="D431" s="4" t="inlineStr"/>
      <c r="E431" s="4">
        <f>IF($D431="Custom","",IFERROR(XLOOKUP($B431&amp;"|"&amp;$D431,ShiftKnowledge!$A$2:$A$9,ShiftKnowledge!$D$2:$D$9,""),IFERROR(INDEX(ShiftKnowledge!$D$2:$D$9,MATCH($B431&amp;"|"&amp;$D431,ShiftKnowledge!$A$2:$A$9,0)),"")))</f>
        <v/>
      </c>
      <c r="F431" s="4" t="inlineStr"/>
      <c r="G431" s="4">
        <f>IF(AND($I431="",$L431=""),"",IFERROR(VALUE($I431),0)+IFERROR(VALUE($L431),0))</f>
        <v/>
      </c>
      <c r="H431" s="4">
        <f>IF($D431="Custom","",IFERROR(XLOOKUP($B431&amp;"|"&amp;$D431,ShiftKnowledge!$A$2:$A$9,ShiftKnowledge!$E$2:$E$9,""),IFERROR(INDEX(ShiftKnowledge!$E$2:$E$9,MATCH($B431&amp;"|"&amp;$D431,ShiftKnowledge!$A$2:$A$9,0)),"")))</f>
        <v/>
      </c>
      <c r="I431" s="4">
        <f>IF($D431="Custom","",IFERROR(XLOOKUP($B431&amp;"|"&amp;$D431,ShiftKnowledge!$A$2:$A$9,ShiftKnowledge!$F$2:$F$9,""),IFERROR(INDEX(ShiftKnowledge!$F$2:$F$9,MATCH($B431&amp;"|"&amp;$D431,ShiftKnowledge!$A$2:$A$9,0)),"")))</f>
        <v/>
      </c>
      <c r="J431" s="4">
        <f>IF($D431="Custom","",IFERROR(XLOOKUP($B431&amp;"|"&amp;$D431,ShiftKnowledge!$A$2:$A$9,ShiftKnowledge!$G$2:$G$9,""),IFERROR(INDEX(ShiftKnowledge!$G$2:$G$9,MATCH($B431&amp;"|"&amp;$D431,ShiftKnowledge!$A$2:$A$9,0)),"")))</f>
        <v/>
      </c>
      <c r="K431" s="4">
        <f>IF($D431="Custom","",IFERROR(XLOOKUP($B431&amp;"|"&amp;$D431,ShiftKnowledge!$A$2:$A$9,ShiftKnowledge!$H$2:$H$9,""),IFERROR(INDEX(ShiftKnowledge!$H$2:$H$9,MATCH($B431&amp;"|"&amp;$D431,ShiftKnowledge!$A$2:$A$9,0)),"")))</f>
        <v/>
      </c>
      <c r="L431" s="4">
        <f>IF($D431="Custom","",IFERROR(XLOOKUP($B431&amp;"|"&amp;$D431,ShiftKnowledge!$A$2:$A$9,ShiftKnowledge!$I$2:$I$9,""),IFERROR(INDEX(ShiftKnowledge!$I$2:$I$9,MATCH($B431&amp;"|"&amp;$D431,ShiftKnowledge!$A$2:$A$9,0)),"")))</f>
        <v/>
      </c>
      <c r="M431" s="4" t="inlineStr"/>
    </row>
    <row r="432" ht="20" customHeight="1">
      <c r="A432" s="6" t="inlineStr">
        <is>
          <t>18/11/2025</t>
        </is>
      </c>
      <c r="B432" s="6" t="inlineStr">
        <is>
          <t>Paediatrics</t>
        </is>
      </c>
      <c r="C432" s="7" t="inlineStr">
        <is>
          <t>Dr. Roshan Kumar Dikshit</t>
        </is>
      </c>
      <c r="D432" s="6" t="inlineStr"/>
      <c r="E432" s="6">
        <f>IF($D432="Custom","",IFERROR(XLOOKUP($B432&amp;"|"&amp;$D432,ShiftKnowledge!$A$2:$A$9,ShiftKnowledge!$D$2:$D$9,""),IFERROR(INDEX(ShiftKnowledge!$D$2:$D$9,MATCH($B432&amp;"|"&amp;$D432,ShiftKnowledge!$A$2:$A$9,0)),"")))</f>
        <v/>
      </c>
      <c r="F432" s="6" t="inlineStr"/>
      <c r="G432" s="6">
        <f>IF(AND($I432="",$L432=""),"",IFERROR(VALUE($I432),0)+IFERROR(VALUE($L432),0))</f>
        <v/>
      </c>
      <c r="H432" s="6">
        <f>IF($D432="Custom","",IFERROR(XLOOKUP($B432&amp;"|"&amp;$D432,ShiftKnowledge!$A$2:$A$9,ShiftKnowledge!$E$2:$E$9,""),IFERROR(INDEX(ShiftKnowledge!$E$2:$E$9,MATCH($B432&amp;"|"&amp;$D432,ShiftKnowledge!$A$2:$A$9,0)),"")))</f>
        <v/>
      </c>
      <c r="I432" s="6">
        <f>IF($D432="Custom","",IFERROR(XLOOKUP($B432&amp;"|"&amp;$D432,ShiftKnowledge!$A$2:$A$9,ShiftKnowledge!$F$2:$F$9,""),IFERROR(INDEX(ShiftKnowledge!$F$2:$F$9,MATCH($B432&amp;"|"&amp;$D432,ShiftKnowledge!$A$2:$A$9,0)),"")))</f>
        <v/>
      </c>
      <c r="J432" s="6">
        <f>IF($D432="Custom","",IFERROR(XLOOKUP($B432&amp;"|"&amp;$D432,ShiftKnowledge!$A$2:$A$9,ShiftKnowledge!$G$2:$G$9,""),IFERROR(INDEX(ShiftKnowledge!$G$2:$G$9,MATCH($B432&amp;"|"&amp;$D432,ShiftKnowledge!$A$2:$A$9,0)),"")))</f>
        <v/>
      </c>
      <c r="K432" s="6">
        <f>IF($D432="Custom","",IFERROR(XLOOKUP($B432&amp;"|"&amp;$D432,ShiftKnowledge!$A$2:$A$9,ShiftKnowledge!$H$2:$H$9,""),IFERROR(INDEX(ShiftKnowledge!$H$2:$H$9,MATCH($B432&amp;"|"&amp;$D432,ShiftKnowledge!$A$2:$A$9,0)),"")))</f>
        <v/>
      </c>
      <c r="L432" s="6">
        <f>IF($D432="Custom","",IFERROR(XLOOKUP($B432&amp;"|"&amp;$D432,ShiftKnowledge!$A$2:$A$9,ShiftKnowledge!$I$2:$I$9,""),IFERROR(INDEX(ShiftKnowledge!$I$2:$I$9,MATCH($B432&amp;"|"&amp;$D432,ShiftKnowledge!$A$2:$A$9,0)),"")))</f>
        <v/>
      </c>
      <c r="M432" s="6" t="inlineStr"/>
    </row>
    <row r="433" ht="20" customHeight="1">
      <c r="A433" s="4" t="inlineStr">
        <is>
          <t>18/11/2025</t>
        </is>
      </c>
      <c r="B433" s="4" t="inlineStr">
        <is>
          <t>Ophthalmology</t>
        </is>
      </c>
      <c r="C433" s="5" t="inlineStr">
        <is>
          <t>Dr. Roxy Devi Chirom</t>
        </is>
      </c>
      <c r="D433" s="4" t="inlineStr"/>
      <c r="E433" s="4">
        <f>IF($D433="Custom","",IFERROR(XLOOKUP($B433&amp;"|"&amp;$D433,ShiftKnowledge!$A$2:$A$9,ShiftKnowledge!$D$2:$D$9,""),IFERROR(INDEX(ShiftKnowledge!$D$2:$D$9,MATCH($B433&amp;"|"&amp;$D433,ShiftKnowledge!$A$2:$A$9,0)),"")))</f>
        <v/>
      </c>
      <c r="F433" s="4" t="inlineStr"/>
      <c r="G433" s="4">
        <f>IF(AND($I433="",$L433=""),"",IFERROR(VALUE($I433),0)+IFERROR(VALUE($L433),0))</f>
        <v/>
      </c>
      <c r="H433" s="4">
        <f>IF($D433="Custom","",IFERROR(XLOOKUP($B433&amp;"|"&amp;$D433,ShiftKnowledge!$A$2:$A$9,ShiftKnowledge!$E$2:$E$9,""),IFERROR(INDEX(ShiftKnowledge!$E$2:$E$9,MATCH($B433&amp;"|"&amp;$D433,ShiftKnowledge!$A$2:$A$9,0)),"")))</f>
        <v/>
      </c>
      <c r="I433" s="4">
        <f>IF($D433="Custom","",IFERROR(XLOOKUP($B433&amp;"|"&amp;$D433,ShiftKnowledge!$A$2:$A$9,ShiftKnowledge!$F$2:$F$9,""),IFERROR(INDEX(ShiftKnowledge!$F$2:$F$9,MATCH($B433&amp;"|"&amp;$D433,ShiftKnowledge!$A$2:$A$9,0)),"")))</f>
        <v/>
      </c>
      <c r="J433" s="4">
        <f>IF($D433="Custom","",IFERROR(XLOOKUP($B433&amp;"|"&amp;$D433,ShiftKnowledge!$A$2:$A$9,ShiftKnowledge!$G$2:$G$9,""),IFERROR(INDEX(ShiftKnowledge!$G$2:$G$9,MATCH($B433&amp;"|"&amp;$D433,ShiftKnowledge!$A$2:$A$9,0)),"")))</f>
        <v/>
      </c>
      <c r="K433" s="4">
        <f>IF($D433="Custom","",IFERROR(XLOOKUP($B433&amp;"|"&amp;$D433,ShiftKnowledge!$A$2:$A$9,ShiftKnowledge!$H$2:$H$9,""),IFERROR(INDEX(ShiftKnowledge!$H$2:$H$9,MATCH($B433&amp;"|"&amp;$D433,ShiftKnowledge!$A$2:$A$9,0)),"")))</f>
        <v/>
      </c>
      <c r="L433" s="4">
        <f>IF($D433="Custom","",IFERROR(XLOOKUP($B433&amp;"|"&amp;$D433,ShiftKnowledge!$A$2:$A$9,ShiftKnowledge!$I$2:$I$9,""),IFERROR(INDEX(ShiftKnowledge!$I$2:$I$9,MATCH($B433&amp;"|"&amp;$D433,ShiftKnowledge!$A$2:$A$9,0)),"")))</f>
        <v/>
      </c>
      <c r="M433" s="4" t="inlineStr"/>
    </row>
    <row r="434" ht="20" customHeight="1">
      <c r="A434" s="6" t="inlineStr">
        <is>
          <t>18/11/2025</t>
        </is>
      </c>
      <c r="B434" s="6" t="inlineStr">
        <is>
          <t>General Surgery</t>
        </is>
      </c>
      <c r="C434" s="7" t="inlineStr">
        <is>
          <t>Dr. Rubab Nafees</t>
        </is>
      </c>
      <c r="D434" s="6" t="inlineStr"/>
      <c r="E434" s="6">
        <f>IF($D434="Custom","",IFERROR(XLOOKUP($B434&amp;"|"&amp;$D434,ShiftKnowledge!$A$2:$A$9,ShiftKnowledge!$D$2:$D$9,""),IFERROR(INDEX(ShiftKnowledge!$D$2:$D$9,MATCH($B434&amp;"|"&amp;$D434,ShiftKnowledge!$A$2:$A$9,0)),"")))</f>
        <v/>
      </c>
      <c r="F434" s="6" t="inlineStr"/>
      <c r="G434" s="6">
        <f>IF(AND($I434="",$L434=""),"",IFERROR(VALUE($I434),0)+IFERROR(VALUE($L434),0))</f>
        <v/>
      </c>
      <c r="H434" s="6">
        <f>IF($D434="Custom","",IFERROR(XLOOKUP($B434&amp;"|"&amp;$D434,ShiftKnowledge!$A$2:$A$9,ShiftKnowledge!$E$2:$E$9,""),IFERROR(INDEX(ShiftKnowledge!$E$2:$E$9,MATCH($B434&amp;"|"&amp;$D434,ShiftKnowledge!$A$2:$A$9,0)),"")))</f>
        <v/>
      </c>
      <c r="I434" s="6">
        <f>IF($D434="Custom","",IFERROR(XLOOKUP($B434&amp;"|"&amp;$D434,ShiftKnowledge!$A$2:$A$9,ShiftKnowledge!$F$2:$F$9,""),IFERROR(INDEX(ShiftKnowledge!$F$2:$F$9,MATCH($B434&amp;"|"&amp;$D434,ShiftKnowledge!$A$2:$A$9,0)),"")))</f>
        <v/>
      </c>
      <c r="J434" s="6">
        <f>IF($D434="Custom","",IFERROR(XLOOKUP($B434&amp;"|"&amp;$D434,ShiftKnowledge!$A$2:$A$9,ShiftKnowledge!$G$2:$G$9,""),IFERROR(INDEX(ShiftKnowledge!$G$2:$G$9,MATCH($B434&amp;"|"&amp;$D434,ShiftKnowledge!$A$2:$A$9,0)),"")))</f>
        <v/>
      </c>
      <c r="K434" s="6">
        <f>IF($D434="Custom","",IFERROR(XLOOKUP($B434&amp;"|"&amp;$D434,ShiftKnowledge!$A$2:$A$9,ShiftKnowledge!$H$2:$H$9,""),IFERROR(INDEX(ShiftKnowledge!$H$2:$H$9,MATCH($B434&amp;"|"&amp;$D434,ShiftKnowledge!$A$2:$A$9,0)),"")))</f>
        <v/>
      </c>
      <c r="L434" s="6">
        <f>IF($D434="Custom","",IFERROR(XLOOKUP($B434&amp;"|"&amp;$D434,ShiftKnowledge!$A$2:$A$9,ShiftKnowledge!$I$2:$I$9,""),IFERROR(INDEX(ShiftKnowledge!$I$2:$I$9,MATCH($B434&amp;"|"&amp;$D434,ShiftKnowledge!$A$2:$A$9,0)),"")))</f>
        <v/>
      </c>
      <c r="M434" s="6" t="inlineStr"/>
    </row>
    <row r="435" ht="20" customHeight="1">
      <c r="A435" s="4" t="inlineStr">
        <is>
          <t>18/11/2025</t>
        </is>
      </c>
      <c r="B435" s="4" t="inlineStr">
        <is>
          <t>Gynaecology</t>
        </is>
      </c>
      <c r="C435" s="5" t="inlineStr">
        <is>
          <t>Dr. Rubeena Badar Khan</t>
        </is>
      </c>
      <c r="D435" s="4" t="inlineStr"/>
      <c r="E435" s="4">
        <f>IF($D435="Custom","",IFERROR(XLOOKUP($B435&amp;"|"&amp;$D435,ShiftKnowledge!$A$2:$A$9,ShiftKnowledge!$D$2:$D$9,""),IFERROR(INDEX(ShiftKnowledge!$D$2:$D$9,MATCH($B435&amp;"|"&amp;$D435,ShiftKnowledge!$A$2:$A$9,0)),"")))</f>
        <v/>
      </c>
      <c r="F435" s="4" t="inlineStr"/>
      <c r="G435" s="4">
        <f>IF(AND($I435="",$L435=""),"",IFERROR(VALUE($I435),0)+IFERROR(VALUE($L435),0))</f>
        <v/>
      </c>
      <c r="H435" s="4">
        <f>IF($D435="Custom","",IFERROR(XLOOKUP($B435&amp;"|"&amp;$D435,ShiftKnowledge!$A$2:$A$9,ShiftKnowledge!$E$2:$E$9,""),IFERROR(INDEX(ShiftKnowledge!$E$2:$E$9,MATCH($B435&amp;"|"&amp;$D435,ShiftKnowledge!$A$2:$A$9,0)),"")))</f>
        <v/>
      </c>
      <c r="I435" s="4">
        <f>IF($D435="Custom","",IFERROR(XLOOKUP($B435&amp;"|"&amp;$D435,ShiftKnowledge!$A$2:$A$9,ShiftKnowledge!$F$2:$F$9,""),IFERROR(INDEX(ShiftKnowledge!$F$2:$F$9,MATCH($B435&amp;"|"&amp;$D435,ShiftKnowledge!$A$2:$A$9,0)),"")))</f>
        <v/>
      </c>
      <c r="J435" s="4">
        <f>IF($D435="Custom","",IFERROR(XLOOKUP($B435&amp;"|"&amp;$D435,ShiftKnowledge!$A$2:$A$9,ShiftKnowledge!$G$2:$G$9,""),IFERROR(INDEX(ShiftKnowledge!$G$2:$G$9,MATCH($B435&amp;"|"&amp;$D435,ShiftKnowledge!$A$2:$A$9,0)),"")))</f>
        <v/>
      </c>
      <c r="K435" s="4">
        <f>IF($D435="Custom","",IFERROR(XLOOKUP($B435&amp;"|"&amp;$D435,ShiftKnowledge!$A$2:$A$9,ShiftKnowledge!$H$2:$H$9,""),IFERROR(INDEX(ShiftKnowledge!$H$2:$H$9,MATCH($B435&amp;"|"&amp;$D435,ShiftKnowledge!$A$2:$A$9,0)),"")))</f>
        <v/>
      </c>
      <c r="L435" s="4">
        <f>IF($D435="Custom","",IFERROR(XLOOKUP($B435&amp;"|"&amp;$D435,ShiftKnowledge!$A$2:$A$9,ShiftKnowledge!$I$2:$I$9,""),IFERROR(INDEX(ShiftKnowledge!$I$2:$I$9,MATCH($B435&amp;"|"&amp;$D435,ShiftKnowledge!$A$2:$A$9,0)),"")))</f>
        <v/>
      </c>
      <c r="M435" s="4" t="inlineStr"/>
    </row>
    <row r="436" ht="20" customHeight="1">
      <c r="A436" s="6" t="inlineStr">
        <is>
          <t>18/11/2025</t>
        </is>
      </c>
      <c r="B436" s="6" t="inlineStr">
        <is>
          <t>Dental</t>
        </is>
      </c>
      <c r="C436" s="7" t="inlineStr">
        <is>
          <t>Dr. Safa Abdul Gayyoom</t>
        </is>
      </c>
      <c r="D436" s="6" t="inlineStr"/>
      <c r="E436" s="6">
        <f>IF($D436="Custom","",IFERROR(XLOOKUP($B436&amp;"|"&amp;$D436,ShiftKnowledge!$A$2:$A$9,ShiftKnowledge!$D$2:$D$9,""),IFERROR(INDEX(ShiftKnowledge!$D$2:$D$9,MATCH($B436&amp;"|"&amp;$D436,ShiftKnowledge!$A$2:$A$9,0)),"")))</f>
        <v/>
      </c>
      <c r="F436" s="6" t="inlineStr"/>
      <c r="G436" s="6">
        <f>IF(AND($I436="",$L436=""),"",IFERROR(VALUE($I436),0)+IFERROR(VALUE($L436),0))</f>
        <v/>
      </c>
      <c r="H436" s="6">
        <f>IF($D436="Custom","",IFERROR(XLOOKUP($B436&amp;"|"&amp;$D436,ShiftKnowledge!$A$2:$A$9,ShiftKnowledge!$E$2:$E$9,""),IFERROR(INDEX(ShiftKnowledge!$E$2:$E$9,MATCH($B436&amp;"|"&amp;$D436,ShiftKnowledge!$A$2:$A$9,0)),"")))</f>
        <v/>
      </c>
      <c r="I436" s="6">
        <f>IF($D436="Custom","",IFERROR(XLOOKUP($B436&amp;"|"&amp;$D436,ShiftKnowledge!$A$2:$A$9,ShiftKnowledge!$F$2:$F$9,""),IFERROR(INDEX(ShiftKnowledge!$F$2:$F$9,MATCH($B436&amp;"|"&amp;$D436,ShiftKnowledge!$A$2:$A$9,0)),"")))</f>
        <v/>
      </c>
      <c r="J436" s="6">
        <f>IF($D436="Custom","",IFERROR(XLOOKUP($B436&amp;"|"&amp;$D436,ShiftKnowledge!$A$2:$A$9,ShiftKnowledge!$G$2:$G$9,""),IFERROR(INDEX(ShiftKnowledge!$G$2:$G$9,MATCH($B436&amp;"|"&amp;$D436,ShiftKnowledge!$A$2:$A$9,0)),"")))</f>
        <v/>
      </c>
      <c r="K436" s="6">
        <f>IF($D436="Custom","",IFERROR(XLOOKUP($B436&amp;"|"&amp;$D436,ShiftKnowledge!$A$2:$A$9,ShiftKnowledge!$H$2:$H$9,""),IFERROR(INDEX(ShiftKnowledge!$H$2:$H$9,MATCH($B436&amp;"|"&amp;$D436,ShiftKnowledge!$A$2:$A$9,0)),"")))</f>
        <v/>
      </c>
      <c r="L436" s="6">
        <f>IF($D436="Custom","",IFERROR(XLOOKUP($B436&amp;"|"&amp;$D436,ShiftKnowledge!$A$2:$A$9,ShiftKnowledge!$I$2:$I$9,""),IFERROR(INDEX(ShiftKnowledge!$I$2:$I$9,MATCH($B436&amp;"|"&amp;$D436,ShiftKnowledge!$A$2:$A$9,0)),"")))</f>
        <v/>
      </c>
      <c r="M436" s="6" t="inlineStr"/>
    </row>
    <row r="437" ht="20" customHeight="1">
      <c r="A437" s="4" t="inlineStr">
        <is>
          <t>18/11/2025</t>
        </is>
      </c>
      <c r="B437" s="4" t="inlineStr">
        <is>
          <t>Internal Medicine</t>
        </is>
      </c>
      <c r="C437" s="5" t="inlineStr">
        <is>
          <t>Dr. Saroj Thapa</t>
        </is>
      </c>
      <c r="D437" s="4" t="inlineStr"/>
      <c r="E437" s="4">
        <f>IF($D437="Custom","",IFERROR(XLOOKUP($B437&amp;"|"&amp;$D437,ShiftKnowledge!$A$2:$A$9,ShiftKnowledge!$D$2:$D$9,""),IFERROR(INDEX(ShiftKnowledge!$D$2:$D$9,MATCH($B437&amp;"|"&amp;$D437,ShiftKnowledge!$A$2:$A$9,0)),"")))</f>
        <v/>
      </c>
      <c r="F437" s="4" t="inlineStr"/>
      <c r="G437" s="4">
        <f>IF(AND($I437="",$L437=""),"",IFERROR(VALUE($I437),0)+IFERROR(VALUE($L437),0))</f>
        <v/>
      </c>
      <c r="H437" s="4">
        <f>IF($D437="Custom","",IFERROR(XLOOKUP($B437&amp;"|"&amp;$D437,ShiftKnowledge!$A$2:$A$9,ShiftKnowledge!$E$2:$E$9,""),IFERROR(INDEX(ShiftKnowledge!$E$2:$E$9,MATCH($B437&amp;"|"&amp;$D437,ShiftKnowledge!$A$2:$A$9,0)),"")))</f>
        <v/>
      </c>
      <c r="I437" s="4">
        <f>IF($D437="Custom","",IFERROR(XLOOKUP($B437&amp;"|"&amp;$D437,ShiftKnowledge!$A$2:$A$9,ShiftKnowledge!$F$2:$F$9,""),IFERROR(INDEX(ShiftKnowledge!$F$2:$F$9,MATCH($B437&amp;"|"&amp;$D437,ShiftKnowledge!$A$2:$A$9,0)),"")))</f>
        <v/>
      </c>
      <c r="J437" s="4">
        <f>IF($D437="Custom","",IFERROR(XLOOKUP($B437&amp;"|"&amp;$D437,ShiftKnowledge!$A$2:$A$9,ShiftKnowledge!$G$2:$G$9,""),IFERROR(INDEX(ShiftKnowledge!$G$2:$G$9,MATCH($B437&amp;"|"&amp;$D437,ShiftKnowledge!$A$2:$A$9,0)),"")))</f>
        <v/>
      </c>
      <c r="K437" s="4">
        <f>IF($D437="Custom","",IFERROR(XLOOKUP($B437&amp;"|"&amp;$D437,ShiftKnowledge!$A$2:$A$9,ShiftKnowledge!$H$2:$H$9,""),IFERROR(INDEX(ShiftKnowledge!$H$2:$H$9,MATCH($B437&amp;"|"&amp;$D437,ShiftKnowledge!$A$2:$A$9,0)),"")))</f>
        <v/>
      </c>
      <c r="L437" s="4">
        <f>IF($D437="Custom","",IFERROR(XLOOKUP($B437&amp;"|"&amp;$D437,ShiftKnowledge!$A$2:$A$9,ShiftKnowledge!$I$2:$I$9,""),IFERROR(INDEX(ShiftKnowledge!$I$2:$I$9,MATCH($B437&amp;"|"&amp;$D437,ShiftKnowledge!$A$2:$A$9,0)),"")))</f>
        <v/>
      </c>
      <c r="M437" s="4" t="inlineStr"/>
    </row>
    <row r="438" ht="20" customHeight="1">
      <c r="A438" s="6" t="inlineStr">
        <is>
          <t>18/11/2025</t>
        </is>
      </c>
      <c r="B438" s="6" t="inlineStr">
        <is>
          <t>General Surgery</t>
        </is>
      </c>
      <c r="C438" s="7" t="inlineStr">
        <is>
          <t>Dr. Su Mon Kyaw</t>
        </is>
      </c>
      <c r="D438" s="6" t="inlineStr"/>
      <c r="E438" s="6">
        <f>IF($D438="Custom","",IFERROR(XLOOKUP($B438&amp;"|"&amp;$D438,ShiftKnowledge!$A$2:$A$9,ShiftKnowledge!$D$2:$D$9,""),IFERROR(INDEX(ShiftKnowledge!$D$2:$D$9,MATCH($B438&amp;"|"&amp;$D438,ShiftKnowledge!$A$2:$A$9,0)),"")))</f>
        <v/>
      </c>
      <c r="F438" s="6" t="inlineStr"/>
      <c r="G438" s="6">
        <f>IF(AND($I438="",$L438=""),"",IFERROR(VALUE($I438),0)+IFERROR(VALUE($L438),0))</f>
        <v/>
      </c>
      <c r="H438" s="6">
        <f>IF($D438="Custom","",IFERROR(XLOOKUP($B438&amp;"|"&amp;$D438,ShiftKnowledge!$A$2:$A$9,ShiftKnowledge!$E$2:$E$9,""),IFERROR(INDEX(ShiftKnowledge!$E$2:$E$9,MATCH($B438&amp;"|"&amp;$D438,ShiftKnowledge!$A$2:$A$9,0)),"")))</f>
        <v/>
      </c>
      <c r="I438" s="6">
        <f>IF($D438="Custom","",IFERROR(XLOOKUP($B438&amp;"|"&amp;$D438,ShiftKnowledge!$A$2:$A$9,ShiftKnowledge!$F$2:$F$9,""),IFERROR(INDEX(ShiftKnowledge!$F$2:$F$9,MATCH($B438&amp;"|"&amp;$D438,ShiftKnowledge!$A$2:$A$9,0)),"")))</f>
        <v/>
      </c>
      <c r="J438" s="6">
        <f>IF($D438="Custom","",IFERROR(XLOOKUP($B438&amp;"|"&amp;$D438,ShiftKnowledge!$A$2:$A$9,ShiftKnowledge!$G$2:$G$9,""),IFERROR(INDEX(ShiftKnowledge!$G$2:$G$9,MATCH($B438&amp;"|"&amp;$D438,ShiftKnowledge!$A$2:$A$9,0)),"")))</f>
        <v/>
      </c>
      <c r="K438" s="6">
        <f>IF($D438="Custom","",IFERROR(XLOOKUP($B438&amp;"|"&amp;$D438,ShiftKnowledge!$A$2:$A$9,ShiftKnowledge!$H$2:$H$9,""),IFERROR(INDEX(ShiftKnowledge!$H$2:$H$9,MATCH($B438&amp;"|"&amp;$D438,ShiftKnowledge!$A$2:$A$9,0)),"")))</f>
        <v/>
      </c>
      <c r="L438" s="6">
        <f>IF($D438="Custom","",IFERROR(XLOOKUP($B438&amp;"|"&amp;$D438,ShiftKnowledge!$A$2:$A$9,ShiftKnowledge!$I$2:$I$9,""),IFERROR(INDEX(ShiftKnowledge!$I$2:$I$9,MATCH($B438&amp;"|"&amp;$D438,ShiftKnowledge!$A$2:$A$9,0)),"")))</f>
        <v/>
      </c>
      <c r="M438" s="6" t="inlineStr"/>
    </row>
    <row r="439" ht="20" customHeight="1">
      <c r="A439" s="4" t="inlineStr">
        <is>
          <t>18/11/2025</t>
        </is>
      </c>
      <c r="B439" s="4" t="inlineStr">
        <is>
          <t>Internal Medicine</t>
        </is>
      </c>
      <c r="C439" s="5" t="inlineStr">
        <is>
          <t>Dr. Sumretee</t>
        </is>
      </c>
      <c r="D439" s="4" t="inlineStr"/>
      <c r="E439" s="4">
        <f>IF($D439="Custom","",IFERROR(XLOOKUP($B439&amp;"|"&amp;$D439,ShiftKnowledge!$A$2:$A$9,ShiftKnowledge!$D$2:$D$9,""),IFERROR(INDEX(ShiftKnowledge!$D$2:$D$9,MATCH($B439&amp;"|"&amp;$D439,ShiftKnowledge!$A$2:$A$9,0)),"")))</f>
        <v/>
      </c>
      <c r="F439" s="4" t="inlineStr"/>
      <c r="G439" s="4">
        <f>IF(AND($I439="",$L439=""),"",IFERROR(VALUE($I439),0)+IFERROR(VALUE($L439),0))</f>
        <v/>
      </c>
      <c r="H439" s="4">
        <f>IF($D439="Custom","",IFERROR(XLOOKUP($B439&amp;"|"&amp;$D439,ShiftKnowledge!$A$2:$A$9,ShiftKnowledge!$E$2:$E$9,""),IFERROR(INDEX(ShiftKnowledge!$E$2:$E$9,MATCH($B439&amp;"|"&amp;$D439,ShiftKnowledge!$A$2:$A$9,0)),"")))</f>
        <v/>
      </c>
      <c r="I439" s="4">
        <f>IF($D439="Custom","",IFERROR(XLOOKUP($B439&amp;"|"&amp;$D439,ShiftKnowledge!$A$2:$A$9,ShiftKnowledge!$F$2:$F$9,""),IFERROR(INDEX(ShiftKnowledge!$F$2:$F$9,MATCH($B439&amp;"|"&amp;$D439,ShiftKnowledge!$A$2:$A$9,0)),"")))</f>
        <v/>
      </c>
      <c r="J439" s="4">
        <f>IF($D439="Custom","",IFERROR(XLOOKUP($B439&amp;"|"&amp;$D439,ShiftKnowledge!$A$2:$A$9,ShiftKnowledge!$G$2:$G$9,""),IFERROR(INDEX(ShiftKnowledge!$G$2:$G$9,MATCH($B439&amp;"|"&amp;$D439,ShiftKnowledge!$A$2:$A$9,0)),"")))</f>
        <v/>
      </c>
      <c r="K439" s="4">
        <f>IF($D439="Custom","",IFERROR(XLOOKUP($B439&amp;"|"&amp;$D439,ShiftKnowledge!$A$2:$A$9,ShiftKnowledge!$H$2:$H$9,""),IFERROR(INDEX(ShiftKnowledge!$H$2:$H$9,MATCH($B439&amp;"|"&amp;$D439,ShiftKnowledge!$A$2:$A$9,0)),"")))</f>
        <v/>
      </c>
      <c r="L439" s="4">
        <f>IF($D439="Custom","",IFERROR(XLOOKUP($B439&amp;"|"&amp;$D439,ShiftKnowledge!$A$2:$A$9,ShiftKnowledge!$I$2:$I$9,""),IFERROR(INDEX(ShiftKnowledge!$I$2:$I$9,MATCH($B439&amp;"|"&amp;$D439,ShiftKnowledge!$A$2:$A$9,0)),"")))</f>
        <v/>
      </c>
      <c r="M439" s="4" t="inlineStr"/>
    </row>
    <row r="440" ht="20" customHeight="1">
      <c r="A440" s="6" t="inlineStr">
        <is>
          <t>18/11/2025</t>
        </is>
      </c>
      <c r="B440" s="6" t="inlineStr">
        <is>
          <t>Orthopaedics</t>
        </is>
      </c>
      <c r="C440" s="7" t="inlineStr">
        <is>
          <t>Dr. Vinod Ramlal</t>
        </is>
      </c>
      <c r="D440" s="6" t="inlineStr"/>
      <c r="E440" s="6">
        <f>IF($D440="Custom","",IFERROR(XLOOKUP($B440&amp;"|"&amp;$D440,ShiftKnowledge!$A$2:$A$9,ShiftKnowledge!$D$2:$D$9,""),IFERROR(INDEX(ShiftKnowledge!$D$2:$D$9,MATCH($B440&amp;"|"&amp;$D440,ShiftKnowledge!$A$2:$A$9,0)),"")))</f>
        <v/>
      </c>
      <c r="F440" s="6" t="inlineStr"/>
      <c r="G440" s="6">
        <f>IF(AND($I440="",$L440=""),"",IFERROR(VALUE($I440),0)+IFERROR(VALUE($L440),0))</f>
        <v/>
      </c>
      <c r="H440" s="6">
        <f>IF($D440="Custom","",IFERROR(XLOOKUP($B440&amp;"|"&amp;$D440,ShiftKnowledge!$A$2:$A$9,ShiftKnowledge!$E$2:$E$9,""),IFERROR(INDEX(ShiftKnowledge!$E$2:$E$9,MATCH($B440&amp;"|"&amp;$D440,ShiftKnowledge!$A$2:$A$9,0)),"")))</f>
        <v/>
      </c>
      <c r="I440" s="6">
        <f>IF($D440="Custom","",IFERROR(XLOOKUP($B440&amp;"|"&amp;$D440,ShiftKnowledge!$A$2:$A$9,ShiftKnowledge!$F$2:$F$9,""),IFERROR(INDEX(ShiftKnowledge!$F$2:$F$9,MATCH($B440&amp;"|"&amp;$D440,ShiftKnowledge!$A$2:$A$9,0)),"")))</f>
        <v/>
      </c>
      <c r="J440" s="6">
        <f>IF($D440="Custom","",IFERROR(XLOOKUP($B440&amp;"|"&amp;$D440,ShiftKnowledge!$A$2:$A$9,ShiftKnowledge!$G$2:$G$9,""),IFERROR(INDEX(ShiftKnowledge!$G$2:$G$9,MATCH($B440&amp;"|"&amp;$D440,ShiftKnowledge!$A$2:$A$9,0)),"")))</f>
        <v/>
      </c>
      <c r="K440" s="6">
        <f>IF($D440="Custom","",IFERROR(XLOOKUP($B440&amp;"|"&amp;$D440,ShiftKnowledge!$A$2:$A$9,ShiftKnowledge!$H$2:$H$9,""),IFERROR(INDEX(ShiftKnowledge!$H$2:$H$9,MATCH($B440&amp;"|"&amp;$D440,ShiftKnowledge!$A$2:$A$9,0)),"")))</f>
        <v/>
      </c>
      <c r="L440" s="6">
        <f>IF($D440="Custom","",IFERROR(XLOOKUP($B440&amp;"|"&amp;$D440,ShiftKnowledge!$A$2:$A$9,ShiftKnowledge!$I$2:$I$9,""),IFERROR(INDEX(ShiftKnowledge!$I$2:$I$9,MATCH($B440&amp;"|"&amp;$D440,ShiftKnowledge!$A$2:$A$9,0)),"")))</f>
        <v/>
      </c>
      <c r="M440" s="6" t="inlineStr"/>
    </row>
    <row r="441" ht="20" customHeight="1">
      <c r="A441" s="4" t="inlineStr">
        <is>
          <t>18/11/2025</t>
        </is>
      </c>
      <c r="B441" s="4" t="inlineStr">
        <is>
          <t>Paediatrics</t>
        </is>
      </c>
      <c r="C441" s="5" t="inlineStr">
        <is>
          <t>Dr. Yi Nwe Soe</t>
        </is>
      </c>
      <c r="D441" s="4" t="inlineStr"/>
      <c r="E441" s="4">
        <f>IF($D441="Custom","",IFERROR(XLOOKUP($B441&amp;"|"&amp;$D441,ShiftKnowledge!$A$2:$A$9,ShiftKnowledge!$D$2:$D$9,""),IFERROR(INDEX(ShiftKnowledge!$D$2:$D$9,MATCH($B441&amp;"|"&amp;$D441,ShiftKnowledge!$A$2:$A$9,0)),"")))</f>
        <v/>
      </c>
      <c r="F441" s="4" t="inlineStr"/>
      <c r="G441" s="4">
        <f>IF(AND($I441="",$L441=""),"",IFERROR(VALUE($I441),0)+IFERROR(VALUE($L441),0))</f>
        <v/>
      </c>
      <c r="H441" s="4">
        <f>IF($D441="Custom","",IFERROR(XLOOKUP($B441&amp;"|"&amp;$D441,ShiftKnowledge!$A$2:$A$9,ShiftKnowledge!$E$2:$E$9,""),IFERROR(INDEX(ShiftKnowledge!$E$2:$E$9,MATCH($B441&amp;"|"&amp;$D441,ShiftKnowledge!$A$2:$A$9,0)),"")))</f>
        <v/>
      </c>
      <c r="I441" s="4">
        <f>IF($D441="Custom","",IFERROR(XLOOKUP($B441&amp;"|"&amp;$D441,ShiftKnowledge!$A$2:$A$9,ShiftKnowledge!$F$2:$F$9,""),IFERROR(INDEX(ShiftKnowledge!$F$2:$F$9,MATCH($B441&amp;"|"&amp;$D441,ShiftKnowledge!$A$2:$A$9,0)),"")))</f>
        <v/>
      </c>
      <c r="J441" s="4">
        <f>IF($D441="Custom","",IFERROR(XLOOKUP($B441&amp;"|"&amp;$D441,ShiftKnowledge!$A$2:$A$9,ShiftKnowledge!$G$2:$G$9,""),IFERROR(INDEX(ShiftKnowledge!$G$2:$G$9,MATCH($B441&amp;"|"&amp;$D441,ShiftKnowledge!$A$2:$A$9,0)),"")))</f>
        <v/>
      </c>
      <c r="K441" s="4">
        <f>IF($D441="Custom","",IFERROR(XLOOKUP($B441&amp;"|"&amp;$D441,ShiftKnowledge!$A$2:$A$9,ShiftKnowledge!$H$2:$H$9,""),IFERROR(INDEX(ShiftKnowledge!$H$2:$H$9,MATCH($B441&amp;"|"&amp;$D441,ShiftKnowledge!$A$2:$A$9,0)),"")))</f>
        <v/>
      </c>
      <c r="L441" s="4">
        <f>IF($D441="Custom","",IFERROR(XLOOKUP($B441&amp;"|"&amp;$D441,ShiftKnowledge!$A$2:$A$9,ShiftKnowledge!$I$2:$I$9,""),IFERROR(INDEX(ShiftKnowledge!$I$2:$I$9,MATCH($B441&amp;"|"&amp;$D441,ShiftKnowledge!$A$2:$A$9,0)),"")))</f>
        <v/>
      </c>
      <c r="M441" s="4" t="inlineStr"/>
    </row>
    <row r="442" ht="20" customHeight="1">
      <c r="A442" s="6" t="inlineStr">
        <is>
          <t>18/11/2025</t>
        </is>
      </c>
      <c r="B442" s="6" t="inlineStr">
        <is>
          <t>Gynaecology</t>
        </is>
      </c>
      <c r="C442" s="7" t="inlineStr">
        <is>
          <t>Dr. Zarina Kabilova</t>
        </is>
      </c>
      <c r="D442" s="6" t="inlineStr"/>
      <c r="E442" s="6">
        <f>IF($D442="Custom","",IFERROR(XLOOKUP($B442&amp;"|"&amp;$D442,ShiftKnowledge!$A$2:$A$9,ShiftKnowledge!$D$2:$D$9,""),IFERROR(INDEX(ShiftKnowledge!$D$2:$D$9,MATCH($B442&amp;"|"&amp;$D442,ShiftKnowledge!$A$2:$A$9,0)),"")))</f>
        <v/>
      </c>
      <c r="F442" s="6" t="inlineStr"/>
      <c r="G442" s="6">
        <f>IF(AND($I442="",$L442=""),"",IFERROR(VALUE($I442),0)+IFERROR(VALUE($L442),0))</f>
        <v/>
      </c>
      <c r="H442" s="6">
        <f>IF($D442="Custom","",IFERROR(XLOOKUP($B442&amp;"|"&amp;$D442,ShiftKnowledge!$A$2:$A$9,ShiftKnowledge!$E$2:$E$9,""),IFERROR(INDEX(ShiftKnowledge!$E$2:$E$9,MATCH($B442&amp;"|"&amp;$D442,ShiftKnowledge!$A$2:$A$9,0)),"")))</f>
        <v/>
      </c>
      <c r="I442" s="6">
        <f>IF($D442="Custom","",IFERROR(XLOOKUP($B442&amp;"|"&amp;$D442,ShiftKnowledge!$A$2:$A$9,ShiftKnowledge!$F$2:$F$9,""),IFERROR(INDEX(ShiftKnowledge!$F$2:$F$9,MATCH($B442&amp;"|"&amp;$D442,ShiftKnowledge!$A$2:$A$9,0)),"")))</f>
        <v/>
      </c>
      <c r="J442" s="6">
        <f>IF($D442="Custom","",IFERROR(XLOOKUP($B442&amp;"|"&amp;$D442,ShiftKnowledge!$A$2:$A$9,ShiftKnowledge!$G$2:$G$9,""),IFERROR(INDEX(ShiftKnowledge!$G$2:$G$9,MATCH($B442&amp;"|"&amp;$D442,ShiftKnowledge!$A$2:$A$9,0)),"")))</f>
        <v/>
      </c>
      <c r="K442" s="6">
        <f>IF($D442="Custom","",IFERROR(XLOOKUP($B442&amp;"|"&amp;$D442,ShiftKnowledge!$A$2:$A$9,ShiftKnowledge!$H$2:$H$9,""),IFERROR(INDEX(ShiftKnowledge!$H$2:$H$9,MATCH($B442&amp;"|"&amp;$D442,ShiftKnowledge!$A$2:$A$9,0)),"")))</f>
        <v/>
      </c>
      <c r="L442" s="6">
        <f>IF($D442="Custom","",IFERROR(XLOOKUP($B442&amp;"|"&amp;$D442,ShiftKnowledge!$A$2:$A$9,ShiftKnowledge!$I$2:$I$9,""),IFERROR(INDEX(ShiftKnowledge!$I$2:$I$9,MATCH($B442&amp;"|"&amp;$D442,ShiftKnowledge!$A$2:$A$9,0)),"")))</f>
        <v/>
      </c>
      <c r="M442" s="6" t="inlineStr"/>
    </row>
    <row r="443" ht="20" customHeight="1">
      <c r="A443" s="4" t="inlineStr">
        <is>
          <t>19/11/2025</t>
        </is>
      </c>
      <c r="B443" s="4" t="inlineStr">
        <is>
          <t>Orthopaedics</t>
        </is>
      </c>
      <c r="C443" s="5" t="inlineStr">
        <is>
          <t>Dr. Ahmed Azim Abdul Shakoor</t>
        </is>
      </c>
      <c r="D443" s="4" t="inlineStr"/>
      <c r="E443" s="4">
        <f>IF($D443="Custom","",IFERROR(XLOOKUP($B443&amp;"|"&amp;$D443,ShiftKnowledge!$A$2:$A$9,ShiftKnowledge!$D$2:$D$9,""),IFERROR(INDEX(ShiftKnowledge!$D$2:$D$9,MATCH($B443&amp;"|"&amp;$D443,ShiftKnowledge!$A$2:$A$9,0)),"")))</f>
        <v/>
      </c>
      <c r="F443" s="4" t="inlineStr"/>
      <c r="G443" s="4">
        <f>IF(AND($I443="",$L443=""),"",IFERROR(VALUE($I443),0)+IFERROR(VALUE($L443),0))</f>
        <v/>
      </c>
      <c r="H443" s="4">
        <f>IF($D443="Custom","",IFERROR(XLOOKUP($B443&amp;"|"&amp;$D443,ShiftKnowledge!$A$2:$A$9,ShiftKnowledge!$E$2:$E$9,""),IFERROR(INDEX(ShiftKnowledge!$E$2:$E$9,MATCH($B443&amp;"|"&amp;$D443,ShiftKnowledge!$A$2:$A$9,0)),"")))</f>
        <v/>
      </c>
      <c r="I443" s="4">
        <f>IF($D443="Custom","",IFERROR(XLOOKUP($B443&amp;"|"&amp;$D443,ShiftKnowledge!$A$2:$A$9,ShiftKnowledge!$F$2:$F$9,""),IFERROR(INDEX(ShiftKnowledge!$F$2:$F$9,MATCH($B443&amp;"|"&amp;$D443,ShiftKnowledge!$A$2:$A$9,0)),"")))</f>
        <v/>
      </c>
      <c r="J443" s="4">
        <f>IF($D443="Custom","",IFERROR(XLOOKUP($B443&amp;"|"&amp;$D443,ShiftKnowledge!$A$2:$A$9,ShiftKnowledge!$G$2:$G$9,""),IFERROR(INDEX(ShiftKnowledge!$G$2:$G$9,MATCH($B443&amp;"|"&amp;$D443,ShiftKnowledge!$A$2:$A$9,0)),"")))</f>
        <v/>
      </c>
      <c r="K443" s="4">
        <f>IF($D443="Custom","",IFERROR(XLOOKUP($B443&amp;"|"&amp;$D443,ShiftKnowledge!$A$2:$A$9,ShiftKnowledge!$H$2:$H$9,""),IFERROR(INDEX(ShiftKnowledge!$H$2:$H$9,MATCH($B443&amp;"|"&amp;$D443,ShiftKnowledge!$A$2:$A$9,0)),"")))</f>
        <v/>
      </c>
      <c r="L443" s="4">
        <f>IF($D443="Custom","",IFERROR(XLOOKUP($B443&amp;"|"&amp;$D443,ShiftKnowledge!$A$2:$A$9,ShiftKnowledge!$I$2:$I$9,""),IFERROR(INDEX(ShiftKnowledge!$I$2:$I$9,MATCH($B443&amp;"|"&amp;$D443,ShiftKnowledge!$A$2:$A$9,0)),"")))</f>
        <v/>
      </c>
      <c r="M443" s="4" t="inlineStr"/>
    </row>
    <row r="444" ht="20" customHeight="1">
      <c r="A444" s="6" t="inlineStr">
        <is>
          <t>19/11/2025</t>
        </is>
      </c>
      <c r="B444" s="6" t="inlineStr">
        <is>
          <t>Dermatology</t>
        </is>
      </c>
      <c r="C444" s="7" t="inlineStr">
        <is>
          <t>Dr. Ahmed Fekry Bahyeldin Khalafallah</t>
        </is>
      </c>
      <c r="D444" s="6" t="inlineStr"/>
      <c r="E444" s="6">
        <f>IF($D444="Custom","",IFERROR(XLOOKUP($B444&amp;"|"&amp;$D444,ShiftKnowledge!$A$2:$A$9,ShiftKnowledge!$D$2:$D$9,""),IFERROR(INDEX(ShiftKnowledge!$D$2:$D$9,MATCH($B444&amp;"|"&amp;$D444,ShiftKnowledge!$A$2:$A$9,0)),"")))</f>
        <v/>
      </c>
      <c r="F444" s="6" t="inlineStr"/>
      <c r="G444" s="6">
        <f>IF(AND($I444="",$L444=""),"",IFERROR(VALUE($I444),0)+IFERROR(VALUE($L444),0))</f>
        <v/>
      </c>
      <c r="H444" s="6">
        <f>IF($D444="Custom","",IFERROR(XLOOKUP($B444&amp;"|"&amp;$D444,ShiftKnowledge!$A$2:$A$9,ShiftKnowledge!$E$2:$E$9,""),IFERROR(INDEX(ShiftKnowledge!$E$2:$E$9,MATCH($B444&amp;"|"&amp;$D444,ShiftKnowledge!$A$2:$A$9,0)),"")))</f>
        <v/>
      </c>
      <c r="I444" s="6">
        <f>IF($D444="Custom","",IFERROR(XLOOKUP($B444&amp;"|"&amp;$D444,ShiftKnowledge!$A$2:$A$9,ShiftKnowledge!$F$2:$F$9,""),IFERROR(INDEX(ShiftKnowledge!$F$2:$F$9,MATCH($B444&amp;"|"&amp;$D444,ShiftKnowledge!$A$2:$A$9,0)),"")))</f>
        <v/>
      </c>
      <c r="J444" s="6">
        <f>IF($D444="Custom","",IFERROR(XLOOKUP($B444&amp;"|"&amp;$D444,ShiftKnowledge!$A$2:$A$9,ShiftKnowledge!$G$2:$G$9,""),IFERROR(INDEX(ShiftKnowledge!$G$2:$G$9,MATCH($B444&amp;"|"&amp;$D444,ShiftKnowledge!$A$2:$A$9,0)),"")))</f>
        <v/>
      </c>
      <c r="K444" s="6">
        <f>IF($D444="Custom","",IFERROR(XLOOKUP($B444&amp;"|"&amp;$D444,ShiftKnowledge!$A$2:$A$9,ShiftKnowledge!$H$2:$H$9,""),IFERROR(INDEX(ShiftKnowledge!$H$2:$H$9,MATCH($B444&amp;"|"&amp;$D444,ShiftKnowledge!$A$2:$A$9,0)),"")))</f>
        <v/>
      </c>
      <c r="L444" s="6">
        <f>IF($D444="Custom","",IFERROR(XLOOKUP($B444&amp;"|"&amp;$D444,ShiftKnowledge!$A$2:$A$9,ShiftKnowledge!$I$2:$I$9,""),IFERROR(INDEX(ShiftKnowledge!$I$2:$I$9,MATCH($B444&amp;"|"&amp;$D444,ShiftKnowledge!$A$2:$A$9,0)),"")))</f>
        <v/>
      </c>
      <c r="M444" s="6" t="inlineStr"/>
    </row>
    <row r="445" ht="20" customHeight="1">
      <c r="A445" s="4" t="inlineStr">
        <is>
          <t>19/11/2025</t>
        </is>
      </c>
      <c r="B445" s="4" t="inlineStr">
        <is>
          <t>Pulmonology</t>
        </is>
      </c>
      <c r="C445" s="5" t="inlineStr">
        <is>
          <t>Dr. Ahmed Gamal Youssef Meselhi</t>
        </is>
      </c>
      <c r="D445" s="4" t="inlineStr"/>
      <c r="E445" s="4">
        <f>IF($D445="Custom","",IFERROR(XLOOKUP($B445&amp;"|"&amp;$D445,ShiftKnowledge!$A$2:$A$9,ShiftKnowledge!$D$2:$D$9,""),IFERROR(INDEX(ShiftKnowledge!$D$2:$D$9,MATCH($B445&amp;"|"&amp;$D445,ShiftKnowledge!$A$2:$A$9,0)),"")))</f>
        <v/>
      </c>
      <c r="F445" s="4" t="inlineStr"/>
      <c r="G445" s="4">
        <f>IF(AND($I445="",$L445=""),"",IFERROR(VALUE($I445),0)+IFERROR(VALUE($L445),0))</f>
        <v/>
      </c>
      <c r="H445" s="4">
        <f>IF($D445="Custom","",IFERROR(XLOOKUP($B445&amp;"|"&amp;$D445,ShiftKnowledge!$A$2:$A$9,ShiftKnowledge!$E$2:$E$9,""),IFERROR(INDEX(ShiftKnowledge!$E$2:$E$9,MATCH($B445&amp;"|"&amp;$D445,ShiftKnowledge!$A$2:$A$9,0)),"")))</f>
        <v/>
      </c>
      <c r="I445" s="4">
        <f>IF($D445="Custom","",IFERROR(XLOOKUP($B445&amp;"|"&amp;$D445,ShiftKnowledge!$A$2:$A$9,ShiftKnowledge!$F$2:$F$9,""),IFERROR(INDEX(ShiftKnowledge!$F$2:$F$9,MATCH($B445&amp;"|"&amp;$D445,ShiftKnowledge!$A$2:$A$9,0)),"")))</f>
        <v/>
      </c>
      <c r="J445" s="4">
        <f>IF($D445="Custom","",IFERROR(XLOOKUP($B445&amp;"|"&amp;$D445,ShiftKnowledge!$A$2:$A$9,ShiftKnowledge!$G$2:$G$9,""),IFERROR(INDEX(ShiftKnowledge!$G$2:$G$9,MATCH($B445&amp;"|"&amp;$D445,ShiftKnowledge!$A$2:$A$9,0)),"")))</f>
        <v/>
      </c>
      <c r="K445" s="4">
        <f>IF($D445="Custom","",IFERROR(XLOOKUP($B445&amp;"|"&amp;$D445,ShiftKnowledge!$A$2:$A$9,ShiftKnowledge!$H$2:$H$9,""),IFERROR(INDEX(ShiftKnowledge!$H$2:$H$9,MATCH($B445&amp;"|"&amp;$D445,ShiftKnowledge!$A$2:$A$9,0)),"")))</f>
        <v/>
      </c>
      <c r="L445" s="4">
        <f>IF($D445="Custom","",IFERROR(XLOOKUP($B445&amp;"|"&amp;$D445,ShiftKnowledge!$A$2:$A$9,ShiftKnowledge!$I$2:$I$9,""),IFERROR(INDEX(ShiftKnowledge!$I$2:$I$9,MATCH($B445&amp;"|"&amp;$D445,ShiftKnowledge!$A$2:$A$9,0)),"")))</f>
        <v/>
      </c>
      <c r="M445" s="4" t="inlineStr"/>
    </row>
    <row r="446" ht="20" customHeight="1">
      <c r="A446" s="6" t="inlineStr">
        <is>
          <t>19/11/2025</t>
        </is>
      </c>
      <c r="B446" s="6" t="inlineStr">
        <is>
          <t>Dental</t>
        </is>
      </c>
      <c r="C446" s="7" t="inlineStr">
        <is>
          <t>Dr. Aishath Suha Ali</t>
        </is>
      </c>
      <c r="D446" s="6" t="inlineStr"/>
      <c r="E446" s="6">
        <f>IF($D446="Custom","",IFERROR(XLOOKUP($B446&amp;"|"&amp;$D446,ShiftKnowledge!$A$2:$A$9,ShiftKnowledge!$D$2:$D$9,""),IFERROR(INDEX(ShiftKnowledge!$D$2:$D$9,MATCH($B446&amp;"|"&amp;$D446,ShiftKnowledge!$A$2:$A$9,0)),"")))</f>
        <v/>
      </c>
      <c r="F446" s="6" t="inlineStr"/>
      <c r="G446" s="6">
        <f>IF(AND($I446="",$L446=""),"",IFERROR(VALUE($I446),0)+IFERROR(VALUE($L446),0))</f>
        <v/>
      </c>
      <c r="H446" s="6">
        <f>IF($D446="Custom","",IFERROR(XLOOKUP($B446&amp;"|"&amp;$D446,ShiftKnowledge!$A$2:$A$9,ShiftKnowledge!$E$2:$E$9,""),IFERROR(INDEX(ShiftKnowledge!$E$2:$E$9,MATCH($B446&amp;"|"&amp;$D446,ShiftKnowledge!$A$2:$A$9,0)),"")))</f>
        <v/>
      </c>
      <c r="I446" s="6">
        <f>IF($D446="Custom","",IFERROR(XLOOKUP($B446&amp;"|"&amp;$D446,ShiftKnowledge!$A$2:$A$9,ShiftKnowledge!$F$2:$F$9,""),IFERROR(INDEX(ShiftKnowledge!$F$2:$F$9,MATCH($B446&amp;"|"&amp;$D446,ShiftKnowledge!$A$2:$A$9,0)),"")))</f>
        <v/>
      </c>
      <c r="J446" s="6">
        <f>IF($D446="Custom","",IFERROR(XLOOKUP($B446&amp;"|"&amp;$D446,ShiftKnowledge!$A$2:$A$9,ShiftKnowledge!$G$2:$G$9,""),IFERROR(INDEX(ShiftKnowledge!$G$2:$G$9,MATCH($B446&amp;"|"&amp;$D446,ShiftKnowledge!$A$2:$A$9,0)),"")))</f>
        <v/>
      </c>
      <c r="K446" s="6">
        <f>IF($D446="Custom","",IFERROR(XLOOKUP($B446&amp;"|"&amp;$D446,ShiftKnowledge!$A$2:$A$9,ShiftKnowledge!$H$2:$H$9,""),IFERROR(INDEX(ShiftKnowledge!$H$2:$H$9,MATCH($B446&amp;"|"&amp;$D446,ShiftKnowledge!$A$2:$A$9,0)),"")))</f>
        <v/>
      </c>
      <c r="L446" s="6">
        <f>IF($D446="Custom","",IFERROR(XLOOKUP($B446&amp;"|"&amp;$D446,ShiftKnowledge!$A$2:$A$9,ShiftKnowledge!$I$2:$I$9,""),IFERROR(INDEX(ShiftKnowledge!$I$2:$I$9,MATCH($B446&amp;"|"&amp;$D446,ShiftKnowledge!$A$2:$A$9,0)),"")))</f>
        <v/>
      </c>
      <c r="M446" s="6" t="inlineStr"/>
    </row>
    <row r="447" ht="20" customHeight="1">
      <c r="A447" s="4" t="inlineStr">
        <is>
          <t>19/11/2025</t>
        </is>
      </c>
      <c r="B447" s="4" t="inlineStr">
        <is>
          <t>Paediatrics</t>
        </is>
      </c>
      <c r="C447" s="5" t="inlineStr">
        <is>
          <t>Dr. Alaa Adel Ahmed Sayed Ahmed Sobeih Elamawey</t>
        </is>
      </c>
      <c r="D447" s="4" t="inlineStr"/>
      <c r="E447" s="4">
        <f>IF($D447="Custom","",IFERROR(XLOOKUP($B447&amp;"|"&amp;$D447,ShiftKnowledge!$A$2:$A$9,ShiftKnowledge!$D$2:$D$9,""),IFERROR(INDEX(ShiftKnowledge!$D$2:$D$9,MATCH($B447&amp;"|"&amp;$D447,ShiftKnowledge!$A$2:$A$9,0)),"")))</f>
        <v/>
      </c>
      <c r="F447" s="4" t="inlineStr"/>
      <c r="G447" s="4">
        <f>IF(AND($I447="",$L447=""),"",IFERROR(VALUE($I447),0)+IFERROR(VALUE($L447),0))</f>
        <v/>
      </c>
      <c r="H447" s="4">
        <f>IF($D447="Custom","",IFERROR(XLOOKUP($B447&amp;"|"&amp;$D447,ShiftKnowledge!$A$2:$A$9,ShiftKnowledge!$E$2:$E$9,""),IFERROR(INDEX(ShiftKnowledge!$E$2:$E$9,MATCH($B447&amp;"|"&amp;$D447,ShiftKnowledge!$A$2:$A$9,0)),"")))</f>
        <v/>
      </c>
      <c r="I447" s="4">
        <f>IF($D447="Custom","",IFERROR(XLOOKUP($B447&amp;"|"&amp;$D447,ShiftKnowledge!$A$2:$A$9,ShiftKnowledge!$F$2:$F$9,""),IFERROR(INDEX(ShiftKnowledge!$F$2:$F$9,MATCH($B447&amp;"|"&amp;$D447,ShiftKnowledge!$A$2:$A$9,0)),"")))</f>
        <v/>
      </c>
      <c r="J447" s="4">
        <f>IF($D447="Custom","",IFERROR(XLOOKUP($B447&amp;"|"&amp;$D447,ShiftKnowledge!$A$2:$A$9,ShiftKnowledge!$G$2:$G$9,""),IFERROR(INDEX(ShiftKnowledge!$G$2:$G$9,MATCH($B447&amp;"|"&amp;$D447,ShiftKnowledge!$A$2:$A$9,0)),"")))</f>
        <v/>
      </c>
      <c r="K447" s="4">
        <f>IF($D447="Custom","",IFERROR(XLOOKUP($B447&amp;"|"&amp;$D447,ShiftKnowledge!$A$2:$A$9,ShiftKnowledge!$H$2:$H$9,""),IFERROR(INDEX(ShiftKnowledge!$H$2:$H$9,MATCH($B447&amp;"|"&amp;$D447,ShiftKnowledge!$A$2:$A$9,0)),"")))</f>
        <v/>
      </c>
      <c r="L447" s="4">
        <f>IF($D447="Custom","",IFERROR(XLOOKUP($B447&amp;"|"&amp;$D447,ShiftKnowledge!$A$2:$A$9,ShiftKnowledge!$I$2:$I$9,""),IFERROR(INDEX(ShiftKnowledge!$I$2:$I$9,MATCH($B447&amp;"|"&amp;$D447,ShiftKnowledge!$A$2:$A$9,0)),"")))</f>
        <v/>
      </c>
      <c r="M447" s="4" t="inlineStr"/>
    </row>
    <row r="448" ht="20" customHeight="1">
      <c r="A448" s="6" t="inlineStr">
        <is>
          <t>19/11/2025</t>
        </is>
      </c>
      <c r="B448" s="6" t="inlineStr">
        <is>
          <t>Paediatrics</t>
        </is>
      </c>
      <c r="C448" s="7" t="inlineStr">
        <is>
          <t>Dr. Alisha Joshi</t>
        </is>
      </c>
      <c r="D448" s="6" t="inlineStr"/>
      <c r="E448" s="6">
        <f>IF($D448="Custom","",IFERROR(XLOOKUP($B448&amp;"|"&amp;$D448,ShiftKnowledge!$A$2:$A$9,ShiftKnowledge!$D$2:$D$9,""),IFERROR(INDEX(ShiftKnowledge!$D$2:$D$9,MATCH($B448&amp;"|"&amp;$D448,ShiftKnowledge!$A$2:$A$9,0)),"")))</f>
        <v/>
      </c>
      <c r="F448" s="6" t="inlineStr"/>
      <c r="G448" s="6">
        <f>IF(AND($I448="",$L448=""),"",IFERROR(VALUE($I448),0)+IFERROR(VALUE($L448),0))</f>
        <v/>
      </c>
      <c r="H448" s="6">
        <f>IF($D448="Custom","",IFERROR(XLOOKUP($B448&amp;"|"&amp;$D448,ShiftKnowledge!$A$2:$A$9,ShiftKnowledge!$E$2:$E$9,""),IFERROR(INDEX(ShiftKnowledge!$E$2:$E$9,MATCH($B448&amp;"|"&amp;$D448,ShiftKnowledge!$A$2:$A$9,0)),"")))</f>
        <v/>
      </c>
      <c r="I448" s="6">
        <f>IF($D448="Custom","",IFERROR(XLOOKUP($B448&amp;"|"&amp;$D448,ShiftKnowledge!$A$2:$A$9,ShiftKnowledge!$F$2:$F$9,""),IFERROR(INDEX(ShiftKnowledge!$F$2:$F$9,MATCH($B448&amp;"|"&amp;$D448,ShiftKnowledge!$A$2:$A$9,0)),"")))</f>
        <v/>
      </c>
      <c r="J448" s="6">
        <f>IF($D448="Custom","",IFERROR(XLOOKUP($B448&amp;"|"&amp;$D448,ShiftKnowledge!$A$2:$A$9,ShiftKnowledge!$G$2:$G$9,""),IFERROR(INDEX(ShiftKnowledge!$G$2:$G$9,MATCH($B448&amp;"|"&amp;$D448,ShiftKnowledge!$A$2:$A$9,0)),"")))</f>
        <v/>
      </c>
      <c r="K448" s="6">
        <f>IF($D448="Custom","",IFERROR(XLOOKUP($B448&amp;"|"&amp;$D448,ShiftKnowledge!$A$2:$A$9,ShiftKnowledge!$H$2:$H$9,""),IFERROR(INDEX(ShiftKnowledge!$H$2:$H$9,MATCH($B448&amp;"|"&amp;$D448,ShiftKnowledge!$A$2:$A$9,0)),"")))</f>
        <v/>
      </c>
      <c r="L448" s="6">
        <f>IF($D448="Custom","",IFERROR(XLOOKUP($B448&amp;"|"&amp;$D448,ShiftKnowledge!$A$2:$A$9,ShiftKnowledge!$I$2:$I$9,""),IFERROR(INDEX(ShiftKnowledge!$I$2:$I$9,MATCH($B448&amp;"|"&amp;$D448,ShiftKnowledge!$A$2:$A$9,0)),"")))</f>
        <v/>
      </c>
      <c r="M448" s="6" t="inlineStr"/>
    </row>
    <row r="449" ht="20" customHeight="1">
      <c r="A449" s="4" t="inlineStr">
        <is>
          <t>19/11/2025</t>
        </is>
      </c>
      <c r="B449" s="4" t="inlineStr">
        <is>
          <t>Dental</t>
        </is>
      </c>
      <c r="C449" s="5" t="inlineStr">
        <is>
          <t>Dr. Aminath Dhunyana</t>
        </is>
      </c>
      <c r="D449" s="4" t="inlineStr"/>
      <c r="E449" s="4">
        <f>IF($D449="Custom","",IFERROR(XLOOKUP($B449&amp;"|"&amp;$D449,ShiftKnowledge!$A$2:$A$9,ShiftKnowledge!$D$2:$D$9,""),IFERROR(INDEX(ShiftKnowledge!$D$2:$D$9,MATCH($B449&amp;"|"&amp;$D449,ShiftKnowledge!$A$2:$A$9,0)),"")))</f>
        <v/>
      </c>
      <c r="F449" s="4" t="inlineStr"/>
      <c r="G449" s="4">
        <f>IF(AND($I449="",$L449=""),"",IFERROR(VALUE($I449),0)+IFERROR(VALUE($L449),0))</f>
        <v/>
      </c>
      <c r="H449" s="4">
        <f>IF($D449="Custom","",IFERROR(XLOOKUP($B449&amp;"|"&amp;$D449,ShiftKnowledge!$A$2:$A$9,ShiftKnowledge!$E$2:$E$9,""),IFERROR(INDEX(ShiftKnowledge!$E$2:$E$9,MATCH($B449&amp;"|"&amp;$D449,ShiftKnowledge!$A$2:$A$9,0)),"")))</f>
        <v/>
      </c>
      <c r="I449" s="4">
        <f>IF($D449="Custom","",IFERROR(XLOOKUP($B449&amp;"|"&amp;$D449,ShiftKnowledge!$A$2:$A$9,ShiftKnowledge!$F$2:$F$9,""),IFERROR(INDEX(ShiftKnowledge!$F$2:$F$9,MATCH($B449&amp;"|"&amp;$D449,ShiftKnowledge!$A$2:$A$9,0)),"")))</f>
        <v/>
      </c>
      <c r="J449" s="4">
        <f>IF($D449="Custom","",IFERROR(XLOOKUP($B449&amp;"|"&amp;$D449,ShiftKnowledge!$A$2:$A$9,ShiftKnowledge!$G$2:$G$9,""),IFERROR(INDEX(ShiftKnowledge!$G$2:$G$9,MATCH($B449&amp;"|"&amp;$D449,ShiftKnowledge!$A$2:$A$9,0)),"")))</f>
        <v/>
      </c>
      <c r="K449" s="4">
        <f>IF($D449="Custom","",IFERROR(XLOOKUP($B449&amp;"|"&amp;$D449,ShiftKnowledge!$A$2:$A$9,ShiftKnowledge!$H$2:$H$9,""),IFERROR(INDEX(ShiftKnowledge!$H$2:$H$9,MATCH($B449&amp;"|"&amp;$D449,ShiftKnowledge!$A$2:$A$9,0)),"")))</f>
        <v/>
      </c>
      <c r="L449" s="4">
        <f>IF($D449="Custom","",IFERROR(XLOOKUP($B449&amp;"|"&amp;$D449,ShiftKnowledge!$A$2:$A$9,ShiftKnowledge!$I$2:$I$9,""),IFERROR(INDEX(ShiftKnowledge!$I$2:$I$9,MATCH($B449&amp;"|"&amp;$D449,ShiftKnowledge!$A$2:$A$9,0)),"")))</f>
        <v/>
      </c>
      <c r="M449" s="4" t="inlineStr"/>
    </row>
    <row r="450" ht="20" customHeight="1">
      <c r="A450" s="6" t="inlineStr">
        <is>
          <t>19/11/2025</t>
        </is>
      </c>
      <c r="B450" s="6" t="inlineStr">
        <is>
          <t>Gynaecology</t>
        </is>
      </c>
      <c r="C450" s="7" t="inlineStr">
        <is>
          <t>Dr. Aminath Juhaina</t>
        </is>
      </c>
      <c r="D450" s="6" t="inlineStr"/>
      <c r="E450" s="6">
        <f>IF($D450="Custom","",IFERROR(XLOOKUP($B450&amp;"|"&amp;$D450,ShiftKnowledge!$A$2:$A$9,ShiftKnowledge!$D$2:$D$9,""),IFERROR(INDEX(ShiftKnowledge!$D$2:$D$9,MATCH($B450&amp;"|"&amp;$D450,ShiftKnowledge!$A$2:$A$9,0)),"")))</f>
        <v/>
      </c>
      <c r="F450" s="6" t="inlineStr"/>
      <c r="G450" s="6">
        <f>IF(AND($I450="",$L450=""),"",IFERROR(VALUE($I450),0)+IFERROR(VALUE($L450),0))</f>
        <v/>
      </c>
      <c r="H450" s="6">
        <f>IF($D450="Custom","",IFERROR(XLOOKUP($B450&amp;"|"&amp;$D450,ShiftKnowledge!$A$2:$A$9,ShiftKnowledge!$E$2:$E$9,""),IFERROR(INDEX(ShiftKnowledge!$E$2:$E$9,MATCH($B450&amp;"|"&amp;$D450,ShiftKnowledge!$A$2:$A$9,0)),"")))</f>
        <v/>
      </c>
      <c r="I450" s="6">
        <f>IF($D450="Custom","",IFERROR(XLOOKUP($B450&amp;"|"&amp;$D450,ShiftKnowledge!$A$2:$A$9,ShiftKnowledge!$F$2:$F$9,""),IFERROR(INDEX(ShiftKnowledge!$F$2:$F$9,MATCH($B450&amp;"|"&amp;$D450,ShiftKnowledge!$A$2:$A$9,0)),"")))</f>
        <v/>
      </c>
      <c r="J450" s="6">
        <f>IF($D450="Custom","",IFERROR(XLOOKUP($B450&amp;"|"&amp;$D450,ShiftKnowledge!$A$2:$A$9,ShiftKnowledge!$G$2:$G$9,""),IFERROR(INDEX(ShiftKnowledge!$G$2:$G$9,MATCH($B450&amp;"|"&amp;$D450,ShiftKnowledge!$A$2:$A$9,0)),"")))</f>
        <v/>
      </c>
      <c r="K450" s="6">
        <f>IF($D450="Custom","",IFERROR(XLOOKUP($B450&amp;"|"&amp;$D450,ShiftKnowledge!$A$2:$A$9,ShiftKnowledge!$H$2:$H$9,""),IFERROR(INDEX(ShiftKnowledge!$H$2:$H$9,MATCH($B450&amp;"|"&amp;$D450,ShiftKnowledge!$A$2:$A$9,0)),"")))</f>
        <v/>
      </c>
      <c r="L450" s="6">
        <f>IF($D450="Custom","",IFERROR(XLOOKUP($B450&amp;"|"&amp;$D450,ShiftKnowledge!$A$2:$A$9,ShiftKnowledge!$I$2:$I$9,""),IFERROR(INDEX(ShiftKnowledge!$I$2:$I$9,MATCH($B450&amp;"|"&amp;$D450,ShiftKnowledge!$A$2:$A$9,0)),"")))</f>
        <v/>
      </c>
      <c r="M450" s="6" t="inlineStr"/>
    </row>
    <row r="451" ht="20" customHeight="1">
      <c r="A451" s="4" t="inlineStr">
        <is>
          <t>19/11/2025</t>
        </is>
      </c>
      <c r="B451" s="4" t="inlineStr">
        <is>
          <t>Dental</t>
        </is>
      </c>
      <c r="C451" s="5" t="inlineStr">
        <is>
          <t>Dr. Aminath Khazna Musthafa</t>
        </is>
      </c>
      <c r="D451" s="4" t="inlineStr"/>
      <c r="E451" s="4">
        <f>IF($D451="Custom","",IFERROR(XLOOKUP($B451&amp;"|"&amp;$D451,ShiftKnowledge!$A$2:$A$9,ShiftKnowledge!$D$2:$D$9,""),IFERROR(INDEX(ShiftKnowledge!$D$2:$D$9,MATCH($B451&amp;"|"&amp;$D451,ShiftKnowledge!$A$2:$A$9,0)),"")))</f>
        <v/>
      </c>
      <c r="F451" s="4" t="inlineStr"/>
      <c r="G451" s="4">
        <f>IF(AND($I451="",$L451=""),"",IFERROR(VALUE($I451),0)+IFERROR(VALUE($L451),0))</f>
        <v/>
      </c>
      <c r="H451" s="4">
        <f>IF($D451="Custom","",IFERROR(XLOOKUP($B451&amp;"|"&amp;$D451,ShiftKnowledge!$A$2:$A$9,ShiftKnowledge!$E$2:$E$9,""),IFERROR(INDEX(ShiftKnowledge!$E$2:$E$9,MATCH($B451&amp;"|"&amp;$D451,ShiftKnowledge!$A$2:$A$9,0)),"")))</f>
        <v/>
      </c>
      <c r="I451" s="4">
        <f>IF($D451="Custom","",IFERROR(XLOOKUP($B451&amp;"|"&amp;$D451,ShiftKnowledge!$A$2:$A$9,ShiftKnowledge!$F$2:$F$9,""),IFERROR(INDEX(ShiftKnowledge!$F$2:$F$9,MATCH($B451&amp;"|"&amp;$D451,ShiftKnowledge!$A$2:$A$9,0)),"")))</f>
        <v/>
      </c>
      <c r="J451" s="4">
        <f>IF($D451="Custom","",IFERROR(XLOOKUP($B451&amp;"|"&amp;$D451,ShiftKnowledge!$A$2:$A$9,ShiftKnowledge!$G$2:$G$9,""),IFERROR(INDEX(ShiftKnowledge!$G$2:$G$9,MATCH($B451&amp;"|"&amp;$D451,ShiftKnowledge!$A$2:$A$9,0)),"")))</f>
        <v/>
      </c>
      <c r="K451" s="4">
        <f>IF($D451="Custom","",IFERROR(XLOOKUP($B451&amp;"|"&amp;$D451,ShiftKnowledge!$A$2:$A$9,ShiftKnowledge!$H$2:$H$9,""),IFERROR(INDEX(ShiftKnowledge!$H$2:$H$9,MATCH($B451&amp;"|"&amp;$D451,ShiftKnowledge!$A$2:$A$9,0)),"")))</f>
        <v/>
      </c>
      <c r="L451" s="4">
        <f>IF($D451="Custom","",IFERROR(XLOOKUP($B451&amp;"|"&amp;$D451,ShiftKnowledge!$A$2:$A$9,ShiftKnowledge!$I$2:$I$9,""),IFERROR(INDEX(ShiftKnowledge!$I$2:$I$9,MATCH($B451&amp;"|"&amp;$D451,ShiftKnowledge!$A$2:$A$9,0)),"")))</f>
        <v/>
      </c>
      <c r="M451" s="4" t="inlineStr"/>
    </row>
    <row r="452" ht="20" customHeight="1">
      <c r="A452" s="6" t="inlineStr">
        <is>
          <t>19/11/2025</t>
        </is>
      </c>
      <c r="B452" s="6" t="inlineStr">
        <is>
          <t>Internal Medicine</t>
        </is>
      </c>
      <c r="C452" s="7" t="inlineStr">
        <is>
          <t>Dr. Aminath Munaza</t>
        </is>
      </c>
      <c r="D452" s="6" t="inlineStr"/>
      <c r="E452" s="6">
        <f>IF($D452="Custom","",IFERROR(XLOOKUP($B452&amp;"|"&amp;$D452,ShiftKnowledge!$A$2:$A$9,ShiftKnowledge!$D$2:$D$9,""),IFERROR(INDEX(ShiftKnowledge!$D$2:$D$9,MATCH($B452&amp;"|"&amp;$D452,ShiftKnowledge!$A$2:$A$9,0)),"")))</f>
        <v/>
      </c>
      <c r="F452" s="6" t="inlineStr"/>
      <c r="G452" s="6">
        <f>IF(AND($I452="",$L452=""),"",IFERROR(VALUE($I452),0)+IFERROR(VALUE($L452),0))</f>
        <v/>
      </c>
      <c r="H452" s="6">
        <f>IF($D452="Custom","",IFERROR(XLOOKUP($B452&amp;"|"&amp;$D452,ShiftKnowledge!$A$2:$A$9,ShiftKnowledge!$E$2:$E$9,""),IFERROR(INDEX(ShiftKnowledge!$E$2:$E$9,MATCH($B452&amp;"|"&amp;$D452,ShiftKnowledge!$A$2:$A$9,0)),"")))</f>
        <v/>
      </c>
      <c r="I452" s="6">
        <f>IF($D452="Custom","",IFERROR(XLOOKUP($B452&amp;"|"&amp;$D452,ShiftKnowledge!$A$2:$A$9,ShiftKnowledge!$F$2:$F$9,""),IFERROR(INDEX(ShiftKnowledge!$F$2:$F$9,MATCH($B452&amp;"|"&amp;$D452,ShiftKnowledge!$A$2:$A$9,0)),"")))</f>
        <v/>
      </c>
      <c r="J452" s="6">
        <f>IF($D452="Custom","",IFERROR(XLOOKUP($B452&amp;"|"&amp;$D452,ShiftKnowledge!$A$2:$A$9,ShiftKnowledge!$G$2:$G$9,""),IFERROR(INDEX(ShiftKnowledge!$G$2:$G$9,MATCH($B452&amp;"|"&amp;$D452,ShiftKnowledge!$A$2:$A$9,0)),"")))</f>
        <v/>
      </c>
      <c r="K452" s="6">
        <f>IF($D452="Custom","",IFERROR(XLOOKUP($B452&amp;"|"&amp;$D452,ShiftKnowledge!$A$2:$A$9,ShiftKnowledge!$H$2:$H$9,""),IFERROR(INDEX(ShiftKnowledge!$H$2:$H$9,MATCH($B452&amp;"|"&amp;$D452,ShiftKnowledge!$A$2:$A$9,0)),"")))</f>
        <v/>
      </c>
      <c r="L452" s="6">
        <f>IF($D452="Custom","",IFERROR(XLOOKUP($B452&amp;"|"&amp;$D452,ShiftKnowledge!$A$2:$A$9,ShiftKnowledge!$I$2:$I$9,""),IFERROR(INDEX(ShiftKnowledge!$I$2:$I$9,MATCH($B452&amp;"|"&amp;$D452,ShiftKnowledge!$A$2:$A$9,0)),"")))</f>
        <v/>
      </c>
      <c r="M452" s="6" t="inlineStr"/>
    </row>
    <row r="453" ht="20" customHeight="1">
      <c r="A453" s="4" t="inlineStr">
        <is>
          <t>19/11/2025</t>
        </is>
      </c>
      <c r="B453" s="4" t="inlineStr">
        <is>
          <t>Psychiatry</t>
        </is>
      </c>
      <c r="C453" s="5" t="inlineStr">
        <is>
          <t>Dr. Anas Mohamed Anwar Ahmed Ali</t>
        </is>
      </c>
      <c r="D453" s="4" t="inlineStr"/>
      <c r="E453" s="4">
        <f>IF($D453="Custom","",IFERROR(XLOOKUP($B453&amp;"|"&amp;$D453,ShiftKnowledge!$A$2:$A$9,ShiftKnowledge!$D$2:$D$9,""),IFERROR(INDEX(ShiftKnowledge!$D$2:$D$9,MATCH($B453&amp;"|"&amp;$D453,ShiftKnowledge!$A$2:$A$9,0)),"")))</f>
        <v/>
      </c>
      <c r="F453" s="4" t="inlineStr"/>
      <c r="G453" s="4">
        <f>IF(AND($I453="",$L453=""),"",IFERROR(VALUE($I453),0)+IFERROR(VALUE($L453),0))</f>
        <v/>
      </c>
      <c r="H453" s="4">
        <f>IF($D453="Custom","",IFERROR(XLOOKUP($B453&amp;"|"&amp;$D453,ShiftKnowledge!$A$2:$A$9,ShiftKnowledge!$E$2:$E$9,""),IFERROR(INDEX(ShiftKnowledge!$E$2:$E$9,MATCH($B453&amp;"|"&amp;$D453,ShiftKnowledge!$A$2:$A$9,0)),"")))</f>
        <v/>
      </c>
      <c r="I453" s="4">
        <f>IF($D453="Custom","",IFERROR(XLOOKUP($B453&amp;"|"&amp;$D453,ShiftKnowledge!$A$2:$A$9,ShiftKnowledge!$F$2:$F$9,""),IFERROR(INDEX(ShiftKnowledge!$F$2:$F$9,MATCH($B453&amp;"|"&amp;$D453,ShiftKnowledge!$A$2:$A$9,0)),"")))</f>
        <v/>
      </c>
      <c r="J453" s="4">
        <f>IF($D453="Custom","",IFERROR(XLOOKUP($B453&amp;"|"&amp;$D453,ShiftKnowledge!$A$2:$A$9,ShiftKnowledge!$G$2:$G$9,""),IFERROR(INDEX(ShiftKnowledge!$G$2:$G$9,MATCH($B453&amp;"|"&amp;$D453,ShiftKnowledge!$A$2:$A$9,0)),"")))</f>
        <v/>
      </c>
      <c r="K453" s="4">
        <f>IF($D453="Custom","",IFERROR(XLOOKUP($B453&amp;"|"&amp;$D453,ShiftKnowledge!$A$2:$A$9,ShiftKnowledge!$H$2:$H$9,""),IFERROR(INDEX(ShiftKnowledge!$H$2:$H$9,MATCH($B453&amp;"|"&amp;$D453,ShiftKnowledge!$A$2:$A$9,0)),"")))</f>
        <v/>
      </c>
      <c r="L453" s="4">
        <f>IF($D453="Custom","",IFERROR(XLOOKUP($B453&amp;"|"&amp;$D453,ShiftKnowledge!$A$2:$A$9,ShiftKnowledge!$I$2:$I$9,""),IFERROR(INDEX(ShiftKnowledge!$I$2:$I$9,MATCH($B453&amp;"|"&amp;$D453,ShiftKnowledge!$A$2:$A$9,0)),"")))</f>
        <v/>
      </c>
      <c r="M453" s="4" t="inlineStr"/>
    </row>
    <row r="454" ht="20" customHeight="1">
      <c r="A454" s="6" t="inlineStr">
        <is>
          <t>19/11/2025</t>
        </is>
      </c>
      <c r="B454" s="6" t="inlineStr">
        <is>
          <t>Oral Maxillo facial surgery (OMS)</t>
        </is>
      </c>
      <c r="C454" s="7" t="inlineStr">
        <is>
          <t>Dr. Arpita Singh</t>
        </is>
      </c>
      <c r="D454" s="6" t="inlineStr"/>
      <c r="E454" s="6">
        <f>IF($D454="Custom","",IFERROR(XLOOKUP($B454&amp;"|"&amp;$D454,ShiftKnowledge!$A$2:$A$9,ShiftKnowledge!$D$2:$D$9,""),IFERROR(INDEX(ShiftKnowledge!$D$2:$D$9,MATCH($B454&amp;"|"&amp;$D454,ShiftKnowledge!$A$2:$A$9,0)),"")))</f>
        <v/>
      </c>
      <c r="F454" s="6" t="inlineStr"/>
      <c r="G454" s="6">
        <f>IF(AND($I454="",$L454=""),"",IFERROR(VALUE($I454),0)+IFERROR(VALUE($L454),0))</f>
        <v/>
      </c>
      <c r="H454" s="6">
        <f>IF($D454="Custom","",IFERROR(XLOOKUP($B454&amp;"|"&amp;$D454,ShiftKnowledge!$A$2:$A$9,ShiftKnowledge!$E$2:$E$9,""),IFERROR(INDEX(ShiftKnowledge!$E$2:$E$9,MATCH($B454&amp;"|"&amp;$D454,ShiftKnowledge!$A$2:$A$9,0)),"")))</f>
        <v/>
      </c>
      <c r="I454" s="6">
        <f>IF($D454="Custom","",IFERROR(XLOOKUP($B454&amp;"|"&amp;$D454,ShiftKnowledge!$A$2:$A$9,ShiftKnowledge!$F$2:$F$9,""),IFERROR(INDEX(ShiftKnowledge!$F$2:$F$9,MATCH($B454&amp;"|"&amp;$D454,ShiftKnowledge!$A$2:$A$9,0)),"")))</f>
        <v/>
      </c>
      <c r="J454" s="6">
        <f>IF($D454="Custom","",IFERROR(XLOOKUP($B454&amp;"|"&amp;$D454,ShiftKnowledge!$A$2:$A$9,ShiftKnowledge!$G$2:$G$9,""),IFERROR(INDEX(ShiftKnowledge!$G$2:$G$9,MATCH($B454&amp;"|"&amp;$D454,ShiftKnowledge!$A$2:$A$9,0)),"")))</f>
        <v/>
      </c>
      <c r="K454" s="6">
        <f>IF($D454="Custom","",IFERROR(XLOOKUP($B454&amp;"|"&amp;$D454,ShiftKnowledge!$A$2:$A$9,ShiftKnowledge!$H$2:$H$9,""),IFERROR(INDEX(ShiftKnowledge!$H$2:$H$9,MATCH($B454&amp;"|"&amp;$D454,ShiftKnowledge!$A$2:$A$9,0)),"")))</f>
        <v/>
      </c>
      <c r="L454" s="6">
        <f>IF($D454="Custom","",IFERROR(XLOOKUP($B454&amp;"|"&amp;$D454,ShiftKnowledge!$A$2:$A$9,ShiftKnowledge!$I$2:$I$9,""),IFERROR(INDEX(ShiftKnowledge!$I$2:$I$9,MATCH($B454&amp;"|"&amp;$D454,ShiftKnowledge!$A$2:$A$9,0)),"")))</f>
        <v/>
      </c>
      <c r="M454" s="6" t="inlineStr"/>
    </row>
    <row r="455" ht="20" customHeight="1">
      <c r="A455" s="4" t="inlineStr">
        <is>
          <t>19/11/2025</t>
        </is>
      </c>
      <c r="B455" s="4" t="inlineStr">
        <is>
          <t>Orthopaedics</t>
        </is>
      </c>
      <c r="C455" s="5" t="inlineStr">
        <is>
          <t>Dr. Asish Rajak</t>
        </is>
      </c>
      <c r="D455" s="4" t="inlineStr"/>
      <c r="E455" s="4">
        <f>IF($D455="Custom","",IFERROR(XLOOKUP($B455&amp;"|"&amp;$D455,ShiftKnowledge!$A$2:$A$9,ShiftKnowledge!$D$2:$D$9,""),IFERROR(INDEX(ShiftKnowledge!$D$2:$D$9,MATCH($B455&amp;"|"&amp;$D455,ShiftKnowledge!$A$2:$A$9,0)),"")))</f>
        <v/>
      </c>
      <c r="F455" s="4" t="inlineStr"/>
      <c r="G455" s="4">
        <f>IF(AND($I455="",$L455=""),"",IFERROR(VALUE($I455),0)+IFERROR(VALUE($L455),0))</f>
        <v/>
      </c>
      <c r="H455" s="4">
        <f>IF($D455="Custom","",IFERROR(XLOOKUP($B455&amp;"|"&amp;$D455,ShiftKnowledge!$A$2:$A$9,ShiftKnowledge!$E$2:$E$9,""),IFERROR(INDEX(ShiftKnowledge!$E$2:$E$9,MATCH($B455&amp;"|"&amp;$D455,ShiftKnowledge!$A$2:$A$9,0)),"")))</f>
        <v/>
      </c>
      <c r="I455" s="4">
        <f>IF($D455="Custom","",IFERROR(XLOOKUP($B455&amp;"|"&amp;$D455,ShiftKnowledge!$A$2:$A$9,ShiftKnowledge!$F$2:$F$9,""),IFERROR(INDEX(ShiftKnowledge!$F$2:$F$9,MATCH($B455&amp;"|"&amp;$D455,ShiftKnowledge!$A$2:$A$9,0)),"")))</f>
        <v/>
      </c>
      <c r="J455" s="4">
        <f>IF($D455="Custom","",IFERROR(XLOOKUP($B455&amp;"|"&amp;$D455,ShiftKnowledge!$A$2:$A$9,ShiftKnowledge!$G$2:$G$9,""),IFERROR(INDEX(ShiftKnowledge!$G$2:$G$9,MATCH($B455&amp;"|"&amp;$D455,ShiftKnowledge!$A$2:$A$9,0)),"")))</f>
        <v/>
      </c>
      <c r="K455" s="4">
        <f>IF($D455="Custom","",IFERROR(XLOOKUP($B455&amp;"|"&amp;$D455,ShiftKnowledge!$A$2:$A$9,ShiftKnowledge!$H$2:$H$9,""),IFERROR(INDEX(ShiftKnowledge!$H$2:$H$9,MATCH($B455&amp;"|"&amp;$D455,ShiftKnowledge!$A$2:$A$9,0)),"")))</f>
        <v/>
      </c>
      <c r="L455" s="4">
        <f>IF($D455="Custom","",IFERROR(XLOOKUP($B455&amp;"|"&amp;$D455,ShiftKnowledge!$A$2:$A$9,ShiftKnowledge!$I$2:$I$9,""),IFERROR(INDEX(ShiftKnowledge!$I$2:$I$9,MATCH($B455&amp;"|"&amp;$D455,ShiftKnowledge!$A$2:$A$9,0)),"")))</f>
        <v/>
      </c>
      <c r="M455" s="4" t="inlineStr"/>
    </row>
    <row r="456" ht="20" customHeight="1">
      <c r="A456" s="6" t="inlineStr">
        <is>
          <t>19/11/2025</t>
        </is>
      </c>
      <c r="B456" s="6" t="inlineStr">
        <is>
          <t>Dermatology</t>
        </is>
      </c>
      <c r="C456" s="7" t="inlineStr">
        <is>
          <t>Dr. Aya Gamal Kotb Mohamed Elagamy</t>
        </is>
      </c>
      <c r="D456" s="6" t="inlineStr"/>
      <c r="E456" s="6">
        <f>IF($D456="Custom","",IFERROR(XLOOKUP($B456&amp;"|"&amp;$D456,ShiftKnowledge!$A$2:$A$9,ShiftKnowledge!$D$2:$D$9,""),IFERROR(INDEX(ShiftKnowledge!$D$2:$D$9,MATCH($B456&amp;"|"&amp;$D456,ShiftKnowledge!$A$2:$A$9,0)),"")))</f>
        <v/>
      </c>
      <c r="F456" s="6" t="inlineStr"/>
      <c r="G456" s="6">
        <f>IF(AND($I456="",$L456=""),"",IFERROR(VALUE($I456),0)+IFERROR(VALUE($L456),0))</f>
        <v/>
      </c>
      <c r="H456" s="6">
        <f>IF($D456="Custom","",IFERROR(XLOOKUP($B456&amp;"|"&amp;$D456,ShiftKnowledge!$A$2:$A$9,ShiftKnowledge!$E$2:$E$9,""),IFERROR(INDEX(ShiftKnowledge!$E$2:$E$9,MATCH($B456&amp;"|"&amp;$D456,ShiftKnowledge!$A$2:$A$9,0)),"")))</f>
        <v/>
      </c>
      <c r="I456" s="6">
        <f>IF($D456="Custom","",IFERROR(XLOOKUP($B456&amp;"|"&amp;$D456,ShiftKnowledge!$A$2:$A$9,ShiftKnowledge!$F$2:$F$9,""),IFERROR(INDEX(ShiftKnowledge!$F$2:$F$9,MATCH($B456&amp;"|"&amp;$D456,ShiftKnowledge!$A$2:$A$9,0)),"")))</f>
        <v/>
      </c>
      <c r="J456" s="6">
        <f>IF($D456="Custom","",IFERROR(XLOOKUP($B456&amp;"|"&amp;$D456,ShiftKnowledge!$A$2:$A$9,ShiftKnowledge!$G$2:$G$9,""),IFERROR(INDEX(ShiftKnowledge!$G$2:$G$9,MATCH($B456&amp;"|"&amp;$D456,ShiftKnowledge!$A$2:$A$9,0)),"")))</f>
        <v/>
      </c>
      <c r="K456" s="6">
        <f>IF($D456="Custom","",IFERROR(XLOOKUP($B456&amp;"|"&amp;$D456,ShiftKnowledge!$A$2:$A$9,ShiftKnowledge!$H$2:$H$9,""),IFERROR(INDEX(ShiftKnowledge!$H$2:$H$9,MATCH($B456&amp;"|"&amp;$D456,ShiftKnowledge!$A$2:$A$9,0)),"")))</f>
        <v/>
      </c>
      <c r="L456" s="6">
        <f>IF($D456="Custom","",IFERROR(XLOOKUP($B456&amp;"|"&amp;$D456,ShiftKnowledge!$A$2:$A$9,ShiftKnowledge!$I$2:$I$9,""),IFERROR(INDEX(ShiftKnowledge!$I$2:$I$9,MATCH($B456&amp;"|"&amp;$D456,ShiftKnowledge!$A$2:$A$9,0)),"")))</f>
        <v/>
      </c>
      <c r="M456" s="6" t="inlineStr"/>
    </row>
    <row r="457" ht="20" customHeight="1">
      <c r="A457" s="4" t="inlineStr">
        <is>
          <t>19/11/2025</t>
        </is>
      </c>
      <c r="B457" s="4" t="inlineStr">
        <is>
          <t>Dental</t>
        </is>
      </c>
      <c r="C457" s="5" t="inlineStr">
        <is>
          <t>Dr. Benjamin Premkumar</t>
        </is>
      </c>
      <c r="D457" s="4" t="inlineStr"/>
      <c r="E457" s="4">
        <f>IF($D457="Custom","",IFERROR(XLOOKUP($B457&amp;"|"&amp;$D457,ShiftKnowledge!$A$2:$A$9,ShiftKnowledge!$D$2:$D$9,""),IFERROR(INDEX(ShiftKnowledge!$D$2:$D$9,MATCH($B457&amp;"|"&amp;$D457,ShiftKnowledge!$A$2:$A$9,0)),"")))</f>
        <v/>
      </c>
      <c r="F457" s="4" t="inlineStr"/>
      <c r="G457" s="4">
        <f>IF(AND($I457="",$L457=""),"",IFERROR(VALUE($I457),0)+IFERROR(VALUE($L457),0))</f>
        <v/>
      </c>
      <c r="H457" s="4">
        <f>IF($D457="Custom","",IFERROR(XLOOKUP($B457&amp;"|"&amp;$D457,ShiftKnowledge!$A$2:$A$9,ShiftKnowledge!$E$2:$E$9,""),IFERROR(INDEX(ShiftKnowledge!$E$2:$E$9,MATCH($B457&amp;"|"&amp;$D457,ShiftKnowledge!$A$2:$A$9,0)),"")))</f>
        <v/>
      </c>
      <c r="I457" s="4">
        <f>IF($D457="Custom","",IFERROR(XLOOKUP($B457&amp;"|"&amp;$D457,ShiftKnowledge!$A$2:$A$9,ShiftKnowledge!$F$2:$F$9,""),IFERROR(INDEX(ShiftKnowledge!$F$2:$F$9,MATCH($B457&amp;"|"&amp;$D457,ShiftKnowledge!$A$2:$A$9,0)),"")))</f>
        <v/>
      </c>
      <c r="J457" s="4">
        <f>IF($D457="Custom","",IFERROR(XLOOKUP($B457&amp;"|"&amp;$D457,ShiftKnowledge!$A$2:$A$9,ShiftKnowledge!$G$2:$G$9,""),IFERROR(INDEX(ShiftKnowledge!$G$2:$G$9,MATCH($B457&amp;"|"&amp;$D457,ShiftKnowledge!$A$2:$A$9,0)),"")))</f>
        <v/>
      </c>
      <c r="K457" s="4">
        <f>IF($D457="Custom","",IFERROR(XLOOKUP($B457&amp;"|"&amp;$D457,ShiftKnowledge!$A$2:$A$9,ShiftKnowledge!$H$2:$H$9,""),IFERROR(INDEX(ShiftKnowledge!$H$2:$H$9,MATCH($B457&amp;"|"&amp;$D457,ShiftKnowledge!$A$2:$A$9,0)),"")))</f>
        <v/>
      </c>
      <c r="L457" s="4">
        <f>IF($D457="Custom","",IFERROR(XLOOKUP($B457&amp;"|"&amp;$D457,ShiftKnowledge!$A$2:$A$9,ShiftKnowledge!$I$2:$I$9,""),IFERROR(INDEX(ShiftKnowledge!$I$2:$I$9,MATCH($B457&amp;"|"&amp;$D457,ShiftKnowledge!$A$2:$A$9,0)),"")))</f>
        <v/>
      </c>
      <c r="M457" s="4" t="inlineStr"/>
    </row>
    <row r="458" ht="20" customHeight="1">
      <c r="A458" s="6" t="inlineStr">
        <is>
          <t>19/11/2025</t>
        </is>
      </c>
      <c r="B458" s="6" t="inlineStr">
        <is>
          <t>Internal Medicine</t>
        </is>
      </c>
      <c r="C458" s="7" t="inlineStr">
        <is>
          <t>Dr. Cho Thway Mon</t>
        </is>
      </c>
      <c r="D458" s="6" t="inlineStr"/>
      <c r="E458" s="6">
        <f>IF($D458="Custom","",IFERROR(XLOOKUP($B458&amp;"|"&amp;$D458,ShiftKnowledge!$A$2:$A$9,ShiftKnowledge!$D$2:$D$9,""),IFERROR(INDEX(ShiftKnowledge!$D$2:$D$9,MATCH($B458&amp;"|"&amp;$D458,ShiftKnowledge!$A$2:$A$9,0)),"")))</f>
        <v/>
      </c>
      <c r="F458" s="6" t="inlineStr"/>
      <c r="G458" s="6">
        <f>IF(AND($I458="",$L458=""),"",IFERROR(VALUE($I458),0)+IFERROR(VALUE($L458),0))</f>
        <v/>
      </c>
      <c r="H458" s="6">
        <f>IF($D458="Custom","",IFERROR(XLOOKUP($B458&amp;"|"&amp;$D458,ShiftKnowledge!$A$2:$A$9,ShiftKnowledge!$E$2:$E$9,""),IFERROR(INDEX(ShiftKnowledge!$E$2:$E$9,MATCH($B458&amp;"|"&amp;$D458,ShiftKnowledge!$A$2:$A$9,0)),"")))</f>
        <v/>
      </c>
      <c r="I458" s="6">
        <f>IF($D458="Custom","",IFERROR(XLOOKUP($B458&amp;"|"&amp;$D458,ShiftKnowledge!$A$2:$A$9,ShiftKnowledge!$F$2:$F$9,""),IFERROR(INDEX(ShiftKnowledge!$F$2:$F$9,MATCH($B458&amp;"|"&amp;$D458,ShiftKnowledge!$A$2:$A$9,0)),"")))</f>
        <v/>
      </c>
      <c r="J458" s="6">
        <f>IF($D458="Custom","",IFERROR(XLOOKUP($B458&amp;"|"&amp;$D458,ShiftKnowledge!$A$2:$A$9,ShiftKnowledge!$G$2:$G$9,""),IFERROR(INDEX(ShiftKnowledge!$G$2:$G$9,MATCH($B458&amp;"|"&amp;$D458,ShiftKnowledge!$A$2:$A$9,0)),"")))</f>
        <v/>
      </c>
      <c r="K458" s="6">
        <f>IF($D458="Custom","",IFERROR(XLOOKUP($B458&amp;"|"&amp;$D458,ShiftKnowledge!$A$2:$A$9,ShiftKnowledge!$H$2:$H$9,""),IFERROR(INDEX(ShiftKnowledge!$H$2:$H$9,MATCH($B458&amp;"|"&amp;$D458,ShiftKnowledge!$A$2:$A$9,0)),"")))</f>
        <v/>
      </c>
      <c r="L458" s="6">
        <f>IF($D458="Custom","",IFERROR(XLOOKUP($B458&amp;"|"&amp;$D458,ShiftKnowledge!$A$2:$A$9,ShiftKnowledge!$I$2:$I$9,""),IFERROR(INDEX(ShiftKnowledge!$I$2:$I$9,MATCH($B458&amp;"|"&amp;$D458,ShiftKnowledge!$A$2:$A$9,0)),"")))</f>
        <v/>
      </c>
      <c r="M458" s="6" t="inlineStr"/>
    </row>
    <row r="459" ht="20" customHeight="1">
      <c r="A459" s="4" t="inlineStr">
        <is>
          <t>19/11/2025</t>
        </is>
      </c>
      <c r="B459" s="4" t="inlineStr">
        <is>
          <t>Orthopaedics</t>
        </is>
      </c>
      <c r="C459" s="5" t="inlineStr">
        <is>
          <t>Dr. Dinesh Kumar Pandit</t>
        </is>
      </c>
      <c r="D459" s="4" t="inlineStr"/>
      <c r="E459" s="4">
        <f>IF($D459="Custom","",IFERROR(XLOOKUP($B459&amp;"|"&amp;$D459,ShiftKnowledge!$A$2:$A$9,ShiftKnowledge!$D$2:$D$9,""),IFERROR(INDEX(ShiftKnowledge!$D$2:$D$9,MATCH($B459&amp;"|"&amp;$D459,ShiftKnowledge!$A$2:$A$9,0)),"")))</f>
        <v/>
      </c>
      <c r="F459" s="4" t="inlineStr"/>
      <c r="G459" s="4">
        <f>IF(AND($I459="",$L459=""),"",IFERROR(VALUE($I459),0)+IFERROR(VALUE($L459),0))</f>
        <v/>
      </c>
      <c r="H459" s="4">
        <f>IF($D459="Custom","",IFERROR(XLOOKUP($B459&amp;"|"&amp;$D459,ShiftKnowledge!$A$2:$A$9,ShiftKnowledge!$E$2:$E$9,""),IFERROR(INDEX(ShiftKnowledge!$E$2:$E$9,MATCH($B459&amp;"|"&amp;$D459,ShiftKnowledge!$A$2:$A$9,0)),"")))</f>
        <v/>
      </c>
      <c r="I459" s="4">
        <f>IF($D459="Custom","",IFERROR(XLOOKUP($B459&amp;"|"&amp;$D459,ShiftKnowledge!$A$2:$A$9,ShiftKnowledge!$F$2:$F$9,""),IFERROR(INDEX(ShiftKnowledge!$F$2:$F$9,MATCH($B459&amp;"|"&amp;$D459,ShiftKnowledge!$A$2:$A$9,0)),"")))</f>
        <v/>
      </c>
      <c r="J459" s="4">
        <f>IF($D459="Custom","",IFERROR(XLOOKUP($B459&amp;"|"&amp;$D459,ShiftKnowledge!$A$2:$A$9,ShiftKnowledge!$G$2:$G$9,""),IFERROR(INDEX(ShiftKnowledge!$G$2:$G$9,MATCH($B459&amp;"|"&amp;$D459,ShiftKnowledge!$A$2:$A$9,0)),"")))</f>
        <v/>
      </c>
      <c r="K459" s="4">
        <f>IF($D459="Custom","",IFERROR(XLOOKUP($B459&amp;"|"&amp;$D459,ShiftKnowledge!$A$2:$A$9,ShiftKnowledge!$H$2:$H$9,""),IFERROR(INDEX(ShiftKnowledge!$H$2:$H$9,MATCH($B459&amp;"|"&amp;$D459,ShiftKnowledge!$A$2:$A$9,0)),"")))</f>
        <v/>
      </c>
      <c r="L459" s="4">
        <f>IF($D459="Custom","",IFERROR(XLOOKUP($B459&amp;"|"&amp;$D459,ShiftKnowledge!$A$2:$A$9,ShiftKnowledge!$I$2:$I$9,""),IFERROR(INDEX(ShiftKnowledge!$I$2:$I$9,MATCH($B459&amp;"|"&amp;$D459,ShiftKnowledge!$A$2:$A$9,0)),"")))</f>
        <v/>
      </c>
      <c r="M459" s="4" t="inlineStr"/>
    </row>
    <row r="460" ht="20" customHeight="1">
      <c r="A460" s="6" t="inlineStr">
        <is>
          <t>19/11/2025</t>
        </is>
      </c>
      <c r="B460" s="6" t="inlineStr">
        <is>
          <t>Internal Medicine</t>
        </is>
      </c>
      <c r="C460" s="7" t="inlineStr">
        <is>
          <t>Dr. Ei Shwe Yee Myint</t>
        </is>
      </c>
      <c r="D460" s="6" t="inlineStr"/>
      <c r="E460" s="6">
        <f>IF($D460="Custom","",IFERROR(XLOOKUP($B460&amp;"|"&amp;$D460,ShiftKnowledge!$A$2:$A$9,ShiftKnowledge!$D$2:$D$9,""),IFERROR(INDEX(ShiftKnowledge!$D$2:$D$9,MATCH($B460&amp;"|"&amp;$D460,ShiftKnowledge!$A$2:$A$9,0)),"")))</f>
        <v/>
      </c>
      <c r="F460" s="6" t="inlineStr"/>
      <c r="G460" s="6">
        <f>IF(AND($I460="",$L460=""),"",IFERROR(VALUE($I460),0)+IFERROR(VALUE($L460),0))</f>
        <v/>
      </c>
      <c r="H460" s="6">
        <f>IF($D460="Custom","",IFERROR(XLOOKUP($B460&amp;"|"&amp;$D460,ShiftKnowledge!$A$2:$A$9,ShiftKnowledge!$E$2:$E$9,""),IFERROR(INDEX(ShiftKnowledge!$E$2:$E$9,MATCH($B460&amp;"|"&amp;$D460,ShiftKnowledge!$A$2:$A$9,0)),"")))</f>
        <v/>
      </c>
      <c r="I460" s="6">
        <f>IF($D460="Custom","",IFERROR(XLOOKUP($B460&amp;"|"&amp;$D460,ShiftKnowledge!$A$2:$A$9,ShiftKnowledge!$F$2:$F$9,""),IFERROR(INDEX(ShiftKnowledge!$F$2:$F$9,MATCH($B460&amp;"|"&amp;$D460,ShiftKnowledge!$A$2:$A$9,0)),"")))</f>
        <v/>
      </c>
      <c r="J460" s="6">
        <f>IF($D460="Custom","",IFERROR(XLOOKUP($B460&amp;"|"&amp;$D460,ShiftKnowledge!$A$2:$A$9,ShiftKnowledge!$G$2:$G$9,""),IFERROR(INDEX(ShiftKnowledge!$G$2:$G$9,MATCH($B460&amp;"|"&amp;$D460,ShiftKnowledge!$A$2:$A$9,0)),"")))</f>
        <v/>
      </c>
      <c r="K460" s="6">
        <f>IF($D460="Custom","",IFERROR(XLOOKUP($B460&amp;"|"&amp;$D460,ShiftKnowledge!$A$2:$A$9,ShiftKnowledge!$H$2:$H$9,""),IFERROR(INDEX(ShiftKnowledge!$H$2:$H$9,MATCH($B460&amp;"|"&amp;$D460,ShiftKnowledge!$A$2:$A$9,0)),"")))</f>
        <v/>
      </c>
      <c r="L460" s="6">
        <f>IF($D460="Custom","",IFERROR(XLOOKUP($B460&amp;"|"&amp;$D460,ShiftKnowledge!$A$2:$A$9,ShiftKnowledge!$I$2:$I$9,""),IFERROR(INDEX(ShiftKnowledge!$I$2:$I$9,MATCH($B460&amp;"|"&amp;$D460,ShiftKnowledge!$A$2:$A$9,0)),"")))</f>
        <v/>
      </c>
      <c r="M460" s="6" t="inlineStr"/>
    </row>
    <row r="461" ht="20" customHeight="1">
      <c r="A461" s="4" t="inlineStr">
        <is>
          <t>19/11/2025</t>
        </is>
      </c>
      <c r="B461" s="4" t="inlineStr">
        <is>
          <t>Internal Medicine</t>
        </is>
      </c>
      <c r="C461" s="5" t="inlineStr">
        <is>
          <t>Dr. Hatem Hassan Mohamed Abdelhafez</t>
        </is>
      </c>
      <c r="D461" s="4" t="inlineStr"/>
      <c r="E461" s="4">
        <f>IF($D461="Custom","",IFERROR(XLOOKUP($B461&amp;"|"&amp;$D461,ShiftKnowledge!$A$2:$A$9,ShiftKnowledge!$D$2:$D$9,""),IFERROR(INDEX(ShiftKnowledge!$D$2:$D$9,MATCH($B461&amp;"|"&amp;$D461,ShiftKnowledge!$A$2:$A$9,0)),"")))</f>
        <v/>
      </c>
      <c r="F461" s="4" t="inlineStr"/>
      <c r="G461" s="4">
        <f>IF(AND($I461="",$L461=""),"",IFERROR(VALUE($I461),0)+IFERROR(VALUE($L461),0))</f>
        <v/>
      </c>
      <c r="H461" s="4">
        <f>IF($D461="Custom","",IFERROR(XLOOKUP($B461&amp;"|"&amp;$D461,ShiftKnowledge!$A$2:$A$9,ShiftKnowledge!$E$2:$E$9,""),IFERROR(INDEX(ShiftKnowledge!$E$2:$E$9,MATCH($B461&amp;"|"&amp;$D461,ShiftKnowledge!$A$2:$A$9,0)),"")))</f>
        <v/>
      </c>
      <c r="I461" s="4">
        <f>IF($D461="Custom","",IFERROR(XLOOKUP($B461&amp;"|"&amp;$D461,ShiftKnowledge!$A$2:$A$9,ShiftKnowledge!$F$2:$F$9,""),IFERROR(INDEX(ShiftKnowledge!$F$2:$F$9,MATCH($B461&amp;"|"&amp;$D461,ShiftKnowledge!$A$2:$A$9,0)),"")))</f>
        <v/>
      </c>
      <c r="J461" s="4">
        <f>IF($D461="Custom","",IFERROR(XLOOKUP($B461&amp;"|"&amp;$D461,ShiftKnowledge!$A$2:$A$9,ShiftKnowledge!$G$2:$G$9,""),IFERROR(INDEX(ShiftKnowledge!$G$2:$G$9,MATCH($B461&amp;"|"&amp;$D461,ShiftKnowledge!$A$2:$A$9,0)),"")))</f>
        <v/>
      </c>
      <c r="K461" s="4">
        <f>IF($D461="Custom","",IFERROR(XLOOKUP($B461&amp;"|"&amp;$D461,ShiftKnowledge!$A$2:$A$9,ShiftKnowledge!$H$2:$H$9,""),IFERROR(INDEX(ShiftKnowledge!$H$2:$H$9,MATCH($B461&amp;"|"&amp;$D461,ShiftKnowledge!$A$2:$A$9,0)),"")))</f>
        <v/>
      </c>
      <c r="L461" s="4">
        <f>IF($D461="Custom","",IFERROR(XLOOKUP($B461&amp;"|"&amp;$D461,ShiftKnowledge!$A$2:$A$9,ShiftKnowledge!$I$2:$I$9,""),IFERROR(INDEX(ShiftKnowledge!$I$2:$I$9,MATCH($B461&amp;"|"&amp;$D461,ShiftKnowledge!$A$2:$A$9,0)),"")))</f>
        <v/>
      </c>
      <c r="M461" s="4" t="inlineStr"/>
    </row>
    <row r="462" ht="20" customHeight="1">
      <c r="A462" s="6" t="inlineStr">
        <is>
          <t>19/11/2025</t>
        </is>
      </c>
      <c r="B462" s="6" t="inlineStr">
        <is>
          <t>Gynaecology</t>
        </is>
      </c>
      <c r="C462" s="7" t="inlineStr">
        <is>
          <t>Dr. Hawwa Inaya</t>
        </is>
      </c>
      <c r="D462" s="6" t="inlineStr"/>
      <c r="E462" s="6">
        <f>IF($D462="Custom","",IFERROR(XLOOKUP($B462&amp;"|"&amp;$D462,ShiftKnowledge!$A$2:$A$9,ShiftKnowledge!$D$2:$D$9,""),IFERROR(INDEX(ShiftKnowledge!$D$2:$D$9,MATCH($B462&amp;"|"&amp;$D462,ShiftKnowledge!$A$2:$A$9,0)),"")))</f>
        <v/>
      </c>
      <c r="F462" s="6" t="inlineStr"/>
      <c r="G462" s="6">
        <f>IF(AND($I462="",$L462=""),"",IFERROR(VALUE($I462),0)+IFERROR(VALUE($L462),0))</f>
        <v/>
      </c>
      <c r="H462" s="6">
        <f>IF($D462="Custom","",IFERROR(XLOOKUP($B462&amp;"|"&amp;$D462,ShiftKnowledge!$A$2:$A$9,ShiftKnowledge!$E$2:$E$9,""),IFERROR(INDEX(ShiftKnowledge!$E$2:$E$9,MATCH($B462&amp;"|"&amp;$D462,ShiftKnowledge!$A$2:$A$9,0)),"")))</f>
        <v/>
      </c>
      <c r="I462" s="6">
        <f>IF($D462="Custom","",IFERROR(XLOOKUP($B462&amp;"|"&amp;$D462,ShiftKnowledge!$A$2:$A$9,ShiftKnowledge!$F$2:$F$9,""),IFERROR(INDEX(ShiftKnowledge!$F$2:$F$9,MATCH($B462&amp;"|"&amp;$D462,ShiftKnowledge!$A$2:$A$9,0)),"")))</f>
        <v/>
      </c>
      <c r="J462" s="6">
        <f>IF($D462="Custom","",IFERROR(XLOOKUP($B462&amp;"|"&amp;$D462,ShiftKnowledge!$A$2:$A$9,ShiftKnowledge!$G$2:$G$9,""),IFERROR(INDEX(ShiftKnowledge!$G$2:$G$9,MATCH($B462&amp;"|"&amp;$D462,ShiftKnowledge!$A$2:$A$9,0)),"")))</f>
        <v/>
      </c>
      <c r="K462" s="6">
        <f>IF($D462="Custom","",IFERROR(XLOOKUP($B462&amp;"|"&amp;$D462,ShiftKnowledge!$A$2:$A$9,ShiftKnowledge!$H$2:$H$9,""),IFERROR(INDEX(ShiftKnowledge!$H$2:$H$9,MATCH($B462&amp;"|"&amp;$D462,ShiftKnowledge!$A$2:$A$9,0)),"")))</f>
        <v/>
      </c>
      <c r="L462" s="6">
        <f>IF($D462="Custom","",IFERROR(XLOOKUP($B462&amp;"|"&amp;$D462,ShiftKnowledge!$A$2:$A$9,ShiftKnowledge!$I$2:$I$9,""),IFERROR(INDEX(ShiftKnowledge!$I$2:$I$9,MATCH($B462&amp;"|"&amp;$D462,ShiftKnowledge!$A$2:$A$9,0)),"")))</f>
        <v/>
      </c>
      <c r="M462" s="6" t="inlineStr"/>
    </row>
    <row r="463" ht="20" customHeight="1">
      <c r="A463" s="4" t="inlineStr">
        <is>
          <t>19/11/2025</t>
        </is>
      </c>
      <c r="B463" s="4" t="inlineStr">
        <is>
          <t>Gynaecology</t>
        </is>
      </c>
      <c r="C463" s="5" t="inlineStr">
        <is>
          <t>Dr. Joshila Chanu Yumnam Bhattarai</t>
        </is>
      </c>
      <c r="D463" s="4" t="inlineStr"/>
      <c r="E463" s="4">
        <f>IF($D463="Custom","",IFERROR(XLOOKUP($B463&amp;"|"&amp;$D463,ShiftKnowledge!$A$2:$A$9,ShiftKnowledge!$D$2:$D$9,""),IFERROR(INDEX(ShiftKnowledge!$D$2:$D$9,MATCH($B463&amp;"|"&amp;$D463,ShiftKnowledge!$A$2:$A$9,0)),"")))</f>
        <v/>
      </c>
      <c r="F463" s="4" t="inlineStr"/>
      <c r="G463" s="4">
        <f>IF(AND($I463="",$L463=""),"",IFERROR(VALUE($I463),0)+IFERROR(VALUE($L463),0))</f>
        <v/>
      </c>
      <c r="H463" s="4">
        <f>IF($D463="Custom","",IFERROR(XLOOKUP($B463&amp;"|"&amp;$D463,ShiftKnowledge!$A$2:$A$9,ShiftKnowledge!$E$2:$E$9,""),IFERROR(INDEX(ShiftKnowledge!$E$2:$E$9,MATCH($B463&amp;"|"&amp;$D463,ShiftKnowledge!$A$2:$A$9,0)),"")))</f>
        <v/>
      </c>
      <c r="I463" s="4">
        <f>IF($D463="Custom","",IFERROR(XLOOKUP($B463&amp;"|"&amp;$D463,ShiftKnowledge!$A$2:$A$9,ShiftKnowledge!$F$2:$F$9,""),IFERROR(INDEX(ShiftKnowledge!$F$2:$F$9,MATCH($B463&amp;"|"&amp;$D463,ShiftKnowledge!$A$2:$A$9,0)),"")))</f>
        <v/>
      </c>
      <c r="J463" s="4">
        <f>IF($D463="Custom","",IFERROR(XLOOKUP($B463&amp;"|"&amp;$D463,ShiftKnowledge!$A$2:$A$9,ShiftKnowledge!$G$2:$G$9,""),IFERROR(INDEX(ShiftKnowledge!$G$2:$G$9,MATCH($B463&amp;"|"&amp;$D463,ShiftKnowledge!$A$2:$A$9,0)),"")))</f>
        <v/>
      </c>
      <c r="K463" s="4">
        <f>IF($D463="Custom","",IFERROR(XLOOKUP($B463&amp;"|"&amp;$D463,ShiftKnowledge!$A$2:$A$9,ShiftKnowledge!$H$2:$H$9,""),IFERROR(INDEX(ShiftKnowledge!$H$2:$H$9,MATCH($B463&amp;"|"&amp;$D463,ShiftKnowledge!$A$2:$A$9,0)),"")))</f>
        <v/>
      </c>
      <c r="L463" s="4">
        <f>IF($D463="Custom","",IFERROR(XLOOKUP($B463&amp;"|"&amp;$D463,ShiftKnowledge!$A$2:$A$9,ShiftKnowledge!$I$2:$I$9,""),IFERROR(INDEX(ShiftKnowledge!$I$2:$I$9,MATCH($B463&amp;"|"&amp;$D463,ShiftKnowledge!$A$2:$A$9,0)),"")))</f>
        <v/>
      </c>
      <c r="M463" s="4" t="inlineStr"/>
    </row>
    <row r="464" ht="20" customHeight="1">
      <c r="A464" s="6" t="inlineStr">
        <is>
          <t>19/11/2025</t>
        </is>
      </c>
      <c r="B464" s="6" t="inlineStr">
        <is>
          <t>Gynaecology</t>
        </is>
      </c>
      <c r="C464" s="7" t="inlineStr">
        <is>
          <t>Dr. Jumailath Beygum</t>
        </is>
      </c>
      <c r="D464" s="6" t="inlineStr"/>
      <c r="E464" s="6">
        <f>IF($D464="Custom","",IFERROR(XLOOKUP($B464&amp;"|"&amp;$D464,ShiftKnowledge!$A$2:$A$9,ShiftKnowledge!$D$2:$D$9,""),IFERROR(INDEX(ShiftKnowledge!$D$2:$D$9,MATCH($B464&amp;"|"&amp;$D464,ShiftKnowledge!$A$2:$A$9,0)),"")))</f>
        <v/>
      </c>
      <c r="F464" s="6" t="inlineStr"/>
      <c r="G464" s="6">
        <f>IF(AND($I464="",$L464=""),"",IFERROR(VALUE($I464),0)+IFERROR(VALUE($L464),0))</f>
        <v/>
      </c>
      <c r="H464" s="6">
        <f>IF($D464="Custom","",IFERROR(XLOOKUP($B464&amp;"|"&amp;$D464,ShiftKnowledge!$A$2:$A$9,ShiftKnowledge!$E$2:$E$9,""),IFERROR(INDEX(ShiftKnowledge!$E$2:$E$9,MATCH($B464&amp;"|"&amp;$D464,ShiftKnowledge!$A$2:$A$9,0)),"")))</f>
        <v/>
      </c>
      <c r="I464" s="6">
        <f>IF($D464="Custom","",IFERROR(XLOOKUP($B464&amp;"|"&amp;$D464,ShiftKnowledge!$A$2:$A$9,ShiftKnowledge!$F$2:$F$9,""),IFERROR(INDEX(ShiftKnowledge!$F$2:$F$9,MATCH($B464&amp;"|"&amp;$D464,ShiftKnowledge!$A$2:$A$9,0)),"")))</f>
        <v/>
      </c>
      <c r="J464" s="6">
        <f>IF($D464="Custom","",IFERROR(XLOOKUP($B464&amp;"|"&amp;$D464,ShiftKnowledge!$A$2:$A$9,ShiftKnowledge!$G$2:$G$9,""),IFERROR(INDEX(ShiftKnowledge!$G$2:$G$9,MATCH($B464&amp;"|"&amp;$D464,ShiftKnowledge!$A$2:$A$9,0)),"")))</f>
        <v/>
      </c>
      <c r="K464" s="6">
        <f>IF($D464="Custom","",IFERROR(XLOOKUP($B464&amp;"|"&amp;$D464,ShiftKnowledge!$A$2:$A$9,ShiftKnowledge!$H$2:$H$9,""),IFERROR(INDEX(ShiftKnowledge!$H$2:$H$9,MATCH($B464&amp;"|"&amp;$D464,ShiftKnowledge!$A$2:$A$9,0)),"")))</f>
        <v/>
      </c>
      <c r="L464" s="6">
        <f>IF($D464="Custom","",IFERROR(XLOOKUP($B464&amp;"|"&amp;$D464,ShiftKnowledge!$A$2:$A$9,ShiftKnowledge!$I$2:$I$9,""),IFERROR(INDEX(ShiftKnowledge!$I$2:$I$9,MATCH($B464&amp;"|"&amp;$D464,ShiftKnowledge!$A$2:$A$9,0)),"")))</f>
        <v/>
      </c>
      <c r="M464" s="6" t="inlineStr"/>
    </row>
    <row r="465" ht="20" customHeight="1">
      <c r="A465" s="4" t="inlineStr">
        <is>
          <t>19/11/2025</t>
        </is>
      </c>
      <c r="B465" s="4" t="inlineStr">
        <is>
          <t>General Surgery</t>
        </is>
      </c>
      <c r="C465" s="5" t="inlineStr">
        <is>
          <t>Dr. Khine Su Kyi</t>
        </is>
      </c>
      <c r="D465" s="4" t="inlineStr"/>
      <c r="E465" s="4">
        <f>IF($D465="Custom","",IFERROR(XLOOKUP($B465&amp;"|"&amp;$D465,ShiftKnowledge!$A$2:$A$9,ShiftKnowledge!$D$2:$D$9,""),IFERROR(INDEX(ShiftKnowledge!$D$2:$D$9,MATCH($B465&amp;"|"&amp;$D465,ShiftKnowledge!$A$2:$A$9,0)),"")))</f>
        <v/>
      </c>
      <c r="F465" s="4" t="inlineStr"/>
      <c r="G465" s="4">
        <f>IF(AND($I465="",$L465=""),"",IFERROR(VALUE($I465),0)+IFERROR(VALUE($L465),0))</f>
        <v/>
      </c>
      <c r="H465" s="4">
        <f>IF($D465="Custom","",IFERROR(XLOOKUP($B465&amp;"|"&amp;$D465,ShiftKnowledge!$A$2:$A$9,ShiftKnowledge!$E$2:$E$9,""),IFERROR(INDEX(ShiftKnowledge!$E$2:$E$9,MATCH($B465&amp;"|"&amp;$D465,ShiftKnowledge!$A$2:$A$9,0)),"")))</f>
        <v/>
      </c>
      <c r="I465" s="4">
        <f>IF($D465="Custom","",IFERROR(XLOOKUP($B465&amp;"|"&amp;$D465,ShiftKnowledge!$A$2:$A$9,ShiftKnowledge!$F$2:$F$9,""),IFERROR(INDEX(ShiftKnowledge!$F$2:$F$9,MATCH($B465&amp;"|"&amp;$D465,ShiftKnowledge!$A$2:$A$9,0)),"")))</f>
        <v/>
      </c>
      <c r="J465" s="4">
        <f>IF($D465="Custom","",IFERROR(XLOOKUP($B465&amp;"|"&amp;$D465,ShiftKnowledge!$A$2:$A$9,ShiftKnowledge!$G$2:$G$9,""),IFERROR(INDEX(ShiftKnowledge!$G$2:$G$9,MATCH($B465&amp;"|"&amp;$D465,ShiftKnowledge!$A$2:$A$9,0)),"")))</f>
        <v/>
      </c>
      <c r="K465" s="4">
        <f>IF($D465="Custom","",IFERROR(XLOOKUP($B465&amp;"|"&amp;$D465,ShiftKnowledge!$A$2:$A$9,ShiftKnowledge!$H$2:$H$9,""),IFERROR(INDEX(ShiftKnowledge!$H$2:$H$9,MATCH($B465&amp;"|"&amp;$D465,ShiftKnowledge!$A$2:$A$9,0)),"")))</f>
        <v/>
      </c>
      <c r="L465" s="4">
        <f>IF($D465="Custom","",IFERROR(XLOOKUP($B465&amp;"|"&amp;$D465,ShiftKnowledge!$A$2:$A$9,ShiftKnowledge!$I$2:$I$9,""),IFERROR(INDEX(ShiftKnowledge!$I$2:$I$9,MATCH($B465&amp;"|"&amp;$D465,ShiftKnowledge!$A$2:$A$9,0)),"")))</f>
        <v/>
      </c>
      <c r="M465" s="4" t="inlineStr"/>
    </row>
    <row r="466" ht="20" customHeight="1">
      <c r="A466" s="6" t="inlineStr">
        <is>
          <t>19/11/2025</t>
        </is>
      </c>
      <c r="B466" s="6" t="inlineStr">
        <is>
          <t>Dental</t>
        </is>
      </c>
      <c r="C466" s="7" t="inlineStr">
        <is>
          <t>Dr. Mariyam Afza Zuhair</t>
        </is>
      </c>
      <c r="D466" s="6" t="inlineStr"/>
      <c r="E466" s="6">
        <f>IF($D466="Custom","",IFERROR(XLOOKUP($B466&amp;"|"&amp;$D466,ShiftKnowledge!$A$2:$A$9,ShiftKnowledge!$D$2:$D$9,""),IFERROR(INDEX(ShiftKnowledge!$D$2:$D$9,MATCH($B466&amp;"|"&amp;$D466,ShiftKnowledge!$A$2:$A$9,0)),"")))</f>
        <v/>
      </c>
      <c r="F466" s="6" t="inlineStr"/>
      <c r="G466" s="6">
        <f>IF(AND($I466="",$L466=""),"",IFERROR(VALUE($I466),0)+IFERROR(VALUE($L466),0))</f>
        <v/>
      </c>
      <c r="H466" s="6">
        <f>IF($D466="Custom","",IFERROR(XLOOKUP($B466&amp;"|"&amp;$D466,ShiftKnowledge!$A$2:$A$9,ShiftKnowledge!$E$2:$E$9,""),IFERROR(INDEX(ShiftKnowledge!$E$2:$E$9,MATCH($B466&amp;"|"&amp;$D466,ShiftKnowledge!$A$2:$A$9,0)),"")))</f>
        <v/>
      </c>
      <c r="I466" s="6">
        <f>IF($D466="Custom","",IFERROR(XLOOKUP($B466&amp;"|"&amp;$D466,ShiftKnowledge!$A$2:$A$9,ShiftKnowledge!$F$2:$F$9,""),IFERROR(INDEX(ShiftKnowledge!$F$2:$F$9,MATCH($B466&amp;"|"&amp;$D466,ShiftKnowledge!$A$2:$A$9,0)),"")))</f>
        <v/>
      </c>
      <c r="J466" s="6">
        <f>IF($D466="Custom","",IFERROR(XLOOKUP($B466&amp;"|"&amp;$D466,ShiftKnowledge!$A$2:$A$9,ShiftKnowledge!$G$2:$G$9,""),IFERROR(INDEX(ShiftKnowledge!$G$2:$G$9,MATCH($B466&amp;"|"&amp;$D466,ShiftKnowledge!$A$2:$A$9,0)),"")))</f>
        <v/>
      </c>
      <c r="K466" s="6">
        <f>IF($D466="Custom","",IFERROR(XLOOKUP($B466&amp;"|"&amp;$D466,ShiftKnowledge!$A$2:$A$9,ShiftKnowledge!$H$2:$H$9,""),IFERROR(INDEX(ShiftKnowledge!$H$2:$H$9,MATCH($B466&amp;"|"&amp;$D466,ShiftKnowledge!$A$2:$A$9,0)),"")))</f>
        <v/>
      </c>
      <c r="L466" s="6">
        <f>IF($D466="Custom","",IFERROR(XLOOKUP($B466&amp;"|"&amp;$D466,ShiftKnowledge!$A$2:$A$9,ShiftKnowledge!$I$2:$I$9,""),IFERROR(INDEX(ShiftKnowledge!$I$2:$I$9,MATCH($B466&amp;"|"&amp;$D466,ShiftKnowledge!$A$2:$A$9,0)),"")))</f>
        <v/>
      </c>
      <c r="M466" s="6" t="inlineStr"/>
    </row>
    <row r="467" ht="20" customHeight="1">
      <c r="A467" s="4" t="inlineStr">
        <is>
          <t>19/11/2025</t>
        </is>
      </c>
      <c r="B467" s="4" t="inlineStr">
        <is>
          <t>Psychiatry</t>
        </is>
      </c>
      <c r="C467" s="5" t="inlineStr">
        <is>
          <t>Dr. Maumoon Shareef</t>
        </is>
      </c>
      <c r="D467" s="4" t="inlineStr"/>
      <c r="E467" s="4">
        <f>IF($D467="Custom","",IFERROR(XLOOKUP($B467&amp;"|"&amp;$D467,ShiftKnowledge!$A$2:$A$9,ShiftKnowledge!$D$2:$D$9,""),IFERROR(INDEX(ShiftKnowledge!$D$2:$D$9,MATCH($B467&amp;"|"&amp;$D467,ShiftKnowledge!$A$2:$A$9,0)),"")))</f>
        <v/>
      </c>
      <c r="F467" s="4" t="inlineStr"/>
      <c r="G467" s="4">
        <f>IF(AND($I467="",$L467=""),"",IFERROR(VALUE($I467),0)+IFERROR(VALUE($L467),0))</f>
        <v/>
      </c>
      <c r="H467" s="4">
        <f>IF($D467="Custom","",IFERROR(XLOOKUP($B467&amp;"|"&amp;$D467,ShiftKnowledge!$A$2:$A$9,ShiftKnowledge!$E$2:$E$9,""),IFERROR(INDEX(ShiftKnowledge!$E$2:$E$9,MATCH($B467&amp;"|"&amp;$D467,ShiftKnowledge!$A$2:$A$9,0)),"")))</f>
        <v/>
      </c>
      <c r="I467" s="4">
        <f>IF($D467="Custom","",IFERROR(XLOOKUP($B467&amp;"|"&amp;$D467,ShiftKnowledge!$A$2:$A$9,ShiftKnowledge!$F$2:$F$9,""),IFERROR(INDEX(ShiftKnowledge!$F$2:$F$9,MATCH($B467&amp;"|"&amp;$D467,ShiftKnowledge!$A$2:$A$9,0)),"")))</f>
        <v/>
      </c>
      <c r="J467" s="4">
        <f>IF($D467="Custom","",IFERROR(XLOOKUP($B467&amp;"|"&amp;$D467,ShiftKnowledge!$A$2:$A$9,ShiftKnowledge!$G$2:$G$9,""),IFERROR(INDEX(ShiftKnowledge!$G$2:$G$9,MATCH($B467&amp;"|"&amp;$D467,ShiftKnowledge!$A$2:$A$9,0)),"")))</f>
        <v/>
      </c>
      <c r="K467" s="4">
        <f>IF($D467="Custom","",IFERROR(XLOOKUP($B467&amp;"|"&amp;$D467,ShiftKnowledge!$A$2:$A$9,ShiftKnowledge!$H$2:$H$9,""),IFERROR(INDEX(ShiftKnowledge!$H$2:$H$9,MATCH($B467&amp;"|"&amp;$D467,ShiftKnowledge!$A$2:$A$9,0)),"")))</f>
        <v/>
      </c>
      <c r="L467" s="4">
        <f>IF($D467="Custom","",IFERROR(XLOOKUP($B467&amp;"|"&amp;$D467,ShiftKnowledge!$A$2:$A$9,ShiftKnowledge!$I$2:$I$9,""),IFERROR(INDEX(ShiftKnowledge!$I$2:$I$9,MATCH($B467&amp;"|"&amp;$D467,ShiftKnowledge!$A$2:$A$9,0)),"")))</f>
        <v/>
      </c>
      <c r="M467" s="4" t="inlineStr"/>
    </row>
    <row r="468" ht="20" customHeight="1">
      <c r="A468" s="6" t="inlineStr">
        <is>
          <t>19/11/2025</t>
        </is>
      </c>
      <c r="B468" s="6" t="inlineStr">
        <is>
          <t>Internal Medicine</t>
        </is>
      </c>
      <c r="C468" s="7" t="inlineStr">
        <is>
          <t>Dr. Mihuna Ibrahim</t>
        </is>
      </c>
      <c r="D468" s="6" t="inlineStr"/>
      <c r="E468" s="6">
        <f>IF($D468="Custom","",IFERROR(XLOOKUP($B468&amp;"|"&amp;$D468,ShiftKnowledge!$A$2:$A$9,ShiftKnowledge!$D$2:$D$9,""),IFERROR(INDEX(ShiftKnowledge!$D$2:$D$9,MATCH($B468&amp;"|"&amp;$D468,ShiftKnowledge!$A$2:$A$9,0)),"")))</f>
        <v/>
      </c>
      <c r="F468" s="6" t="inlineStr"/>
      <c r="G468" s="6">
        <f>IF(AND($I468="",$L468=""),"",IFERROR(VALUE($I468),0)+IFERROR(VALUE($L468),0))</f>
        <v/>
      </c>
      <c r="H468" s="6">
        <f>IF($D468="Custom","",IFERROR(XLOOKUP($B468&amp;"|"&amp;$D468,ShiftKnowledge!$A$2:$A$9,ShiftKnowledge!$E$2:$E$9,""),IFERROR(INDEX(ShiftKnowledge!$E$2:$E$9,MATCH($B468&amp;"|"&amp;$D468,ShiftKnowledge!$A$2:$A$9,0)),"")))</f>
        <v/>
      </c>
      <c r="I468" s="6">
        <f>IF($D468="Custom","",IFERROR(XLOOKUP($B468&amp;"|"&amp;$D468,ShiftKnowledge!$A$2:$A$9,ShiftKnowledge!$F$2:$F$9,""),IFERROR(INDEX(ShiftKnowledge!$F$2:$F$9,MATCH($B468&amp;"|"&amp;$D468,ShiftKnowledge!$A$2:$A$9,0)),"")))</f>
        <v/>
      </c>
      <c r="J468" s="6">
        <f>IF($D468="Custom","",IFERROR(XLOOKUP($B468&amp;"|"&amp;$D468,ShiftKnowledge!$A$2:$A$9,ShiftKnowledge!$G$2:$G$9,""),IFERROR(INDEX(ShiftKnowledge!$G$2:$G$9,MATCH($B468&amp;"|"&amp;$D468,ShiftKnowledge!$A$2:$A$9,0)),"")))</f>
        <v/>
      </c>
      <c r="K468" s="6">
        <f>IF($D468="Custom","",IFERROR(XLOOKUP($B468&amp;"|"&amp;$D468,ShiftKnowledge!$A$2:$A$9,ShiftKnowledge!$H$2:$H$9,""),IFERROR(INDEX(ShiftKnowledge!$H$2:$H$9,MATCH($B468&amp;"|"&amp;$D468,ShiftKnowledge!$A$2:$A$9,0)),"")))</f>
        <v/>
      </c>
      <c r="L468" s="6">
        <f>IF($D468="Custom","",IFERROR(XLOOKUP($B468&amp;"|"&amp;$D468,ShiftKnowledge!$A$2:$A$9,ShiftKnowledge!$I$2:$I$9,""),IFERROR(INDEX(ShiftKnowledge!$I$2:$I$9,MATCH($B468&amp;"|"&amp;$D468,ShiftKnowledge!$A$2:$A$9,0)),"")))</f>
        <v/>
      </c>
      <c r="M468" s="6" t="inlineStr"/>
    </row>
    <row r="469" ht="20" customHeight="1">
      <c r="A469" s="4" t="inlineStr">
        <is>
          <t>19/11/2025</t>
        </is>
      </c>
      <c r="B469" s="4" t="inlineStr">
        <is>
          <t>Endocrinology</t>
        </is>
      </c>
      <c r="C469" s="5" t="inlineStr">
        <is>
          <t>Dr. Mohamed Wisham</t>
        </is>
      </c>
      <c r="D469" s="4" t="inlineStr"/>
      <c r="E469" s="4">
        <f>IF($D469="Custom","",IFERROR(XLOOKUP($B469&amp;"|"&amp;$D469,ShiftKnowledge!$A$2:$A$9,ShiftKnowledge!$D$2:$D$9,""),IFERROR(INDEX(ShiftKnowledge!$D$2:$D$9,MATCH($B469&amp;"|"&amp;$D469,ShiftKnowledge!$A$2:$A$9,0)),"")))</f>
        <v/>
      </c>
      <c r="F469" s="4" t="inlineStr"/>
      <c r="G469" s="4">
        <f>IF(AND($I469="",$L469=""),"",IFERROR(VALUE($I469),0)+IFERROR(VALUE($L469),0))</f>
        <v/>
      </c>
      <c r="H469" s="4">
        <f>IF($D469="Custom","",IFERROR(XLOOKUP($B469&amp;"|"&amp;$D469,ShiftKnowledge!$A$2:$A$9,ShiftKnowledge!$E$2:$E$9,""),IFERROR(INDEX(ShiftKnowledge!$E$2:$E$9,MATCH($B469&amp;"|"&amp;$D469,ShiftKnowledge!$A$2:$A$9,0)),"")))</f>
        <v/>
      </c>
      <c r="I469" s="4">
        <f>IF($D469="Custom","",IFERROR(XLOOKUP($B469&amp;"|"&amp;$D469,ShiftKnowledge!$A$2:$A$9,ShiftKnowledge!$F$2:$F$9,""),IFERROR(INDEX(ShiftKnowledge!$F$2:$F$9,MATCH($B469&amp;"|"&amp;$D469,ShiftKnowledge!$A$2:$A$9,0)),"")))</f>
        <v/>
      </c>
      <c r="J469" s="4">
        <f>IF($D469="Custom","",IFERROR(XLOOKUP($B469&amp;"|"&amp;$D469,ShiftKnowledge!$A$2:$A$9,ShiftKnowledge!$G$2:$G$9,""),IFERROR(INDEX(ShiftKnowledge!$G$2:$G$9,MATCH($B469&amp;"|"&amp;$D469,ShiftKnowledge!$A$2:$A$9,0)),"")))</f>
        <v/>
      </c>
      <c r="K469" s="4">
        <f>IF($D469="Custom","",IFERROR(XLOOKUP($B469&amp;"|"&amp;$D469,ShiftKnowledge!$A$2:$A$9,ShiftKnowledge!$H$2:$H$9,""),IFERROR(INDEX(ShiftKnowledge!$H$2:$H$9,MATCH($B469&amp;"|"&amp;$D469,ShiftKnowledge!$A$2:$A$9,0)),"")))</f>
        <v/>
      </c>
      <c r="L469" s="4">
        <f>IF($D469="Custom","",IFERROR(XLOOKUP($B469&amp;"|"&amp;$D469,ShiftKnowledge!$A$2:$A$9,ShiftKnowledge!$I$2:$I$9,""),IFERROR(INDEX(ShiftKnowledge!$I$2:$I$9,MATCH($B469&amp;"|"&amp;$D469,ShiftKnowledge!$A$2:$A$9,0)),"")))</f>
        <v/>
      </c>
      <c r="M469" s="4" t="inlineStr"/>
    </row>
    <row r="470" ht="20" customHeight="1">
      <c r="A470" s="6" t="inlineStr">
        <is>
          <t>19/11/2025</t>
        </is>
      </c>
      <c r="B470" s="6" t="inlineStr">
        <is>
          <t>Cardiology</t>
        </is>
      </c>
      <c r="C470" s="7" t="inlineStr">
        <is>
          <t>Dr. Moosa Manik</t>
        </is>
      </c>
      <c r="D470" s="6" t="inlineStr"/>
      <c r="E470" s="6">
        <f>IF($D470="Custom","",IFERROR(XLOOKUP($B470&amp;"|"&amp;$D470,ShiftKnowledge!$A$2:$A$9,ShiftKnowledge!$D$2:$D$9,""),IFERROR(INDEX(ShiftKnowledge!$D$2:$D$9,MATCH($B470&amp;"|"&amp;$D470,ShiftKnowledge!$A$2:$A$9,0)),"")))</f>
        <v/>
      </c>
      <c r="F470" s="6" t="inlineStr"/>
      <c r="G470" s="6">
        <f>IF(AND($I470="",$L470=""),"",IFERROR(VALUE($I470),0)+IFERROR(VALUE($L470),0))</f>
        <v/>
      </c>
      <c r="H470" s="6">
        <f>IF($D470="Custom","",IFERROR(XLOOKUP($B470&amp;"|"&amp;$D470,ShiftKnowledge!$A$2:$A$9,ShiftKnowledge!$E$2:$E$9,""),IFERROR(INDEX(ShiftKnowledge!$E$2:$E$9,MATCH($B470&amp;"|"&amp;$D470,ShiftKnowledge!$A$2:$A$9,0)),"")))</f>
        <v/>
      </c>
      <c r="I470" s="6">
        <f>IF($D470="Custom","",IFERROR(XLOOKUP($B470&amp;"|"&amp;$D470,ShiftKnowledge!$A$2:$A$9,ShiftKnowledge!$F$2:$F$9,""),IFERROR(INDEX(ShiftKnowledge!$F$2:$F$9,MATCH($B470&amp;"|"&amp;$D470,ShiftKnowledge!$A$2:$A$9,0)),"")))</f>
        <v/>
      </c>
      <c r="J470" s="6">
        <f>IF($D470="Custom","",IFERROR(XLOOKUP($B470&amp;"|"&amp;$D470,ShiftKnowledge!$A$2:$A$9,ShiftKnowledge!$G$2:$G$9,""),IFERROR(INDEX(ShiftKnowledge!$G$2:$G$9,MATCH($B470&amp;"|"&amp;$D470,ShiftKnowledge!$A$2:$A$9,0)),"")))</f>
        <v/>
      </c>
      <c r="K470" s="6">
        <f>IF($D470="Custom","",IFERROR(XLOOKUP($B470&amp;"|"&amp;$D470,ShiftKnowledge!$A$2:$A$9,ShiftKnowledge!$H$2:$H$9,""),IFERROR(INDEX(ShiftKnowledge!$H$2:$H$9,MATCH($B470&amp;"|"&amp;$D470,ShiftKnowledge!$A$2:$A$9,0)),"")))</f>
        <v/>
      </c>
      <c r="L470" s="6">
        <f>IF($D470="Custom","",IFERROR(XLOOKUP($B470&amp;"|"&amp;$D470,ShiftKnowledge!$A$2:$A$9,ShiftKnowledge!$I$2:$I$9,""),IFERROR(INDEX(ShiftKnowledge!$I$2:$I$9,MATCH($B470&amp;"|"&amp;$D470,ShiftKnowledge!$A$2:$A$9,0)),"")))</f>
        <v/>
      </c>
      <c r="M470" s="6" t="inlineStr"/>
    </row>
    <row r="471" ht="20" customHeight="1">
      <c r="A471" s="4" t="inlineStr">
        <is>
          <t>19/11/2025</t>
        </is>
      </c>
      <c r="B471" s="4" t="inlineStr">
        <is>
          <t>Nephrology</t>
        </is>
      </c>
      <c r="C471" s="5" t="inlineStr">
        <is>
          <t>Dr. Muhammad Mujtaba Ur Rehman</t>
        </is>
      </c>
      <c r="D471" s="4" t="inlineStr"/>
      <c r="E471" s="4">
        <f>IF($D471="Custom","",IFERROR(XLOOKUP($B471&amp;"|"&amp;$D471,ShiftKnowledge!$A$2:$A$9,ShiftKnowledge!$D$2:$D$9,""),IFERROR(INDEX(ShiftKnowledge!$D$2:$D$9,MATCH($B471&amp;"|"&amp;$D471,ShiftKnowledge!$A$2:$A$9,0)),"")))</f>
        <v/>
      </c>
      <c r="F471" s="4" t="inlineStr"/>
      <c r="G471" s="4">
        <f>IF(AND($I471="",$L471=""),"",IFERROR(VALUE($I471),0)+IFERROR(VALUE($L471),0))</f>
        <v/>
      </c>
      <c r="H471" s="4">
        <f>IF($D471="Custom","",IFERROR(XLOOKUP($B471&amp;"|"&amp;$D471,ShiftKnowledge!$A$2:$A$9,ShiftKnowledge!$E$2:$E$9,""),IFERROR(INDEX(ShiftKnowledge!$E$2:$E$9,MATCH($B471&amp;"|"&amp;$D471,ShiftKnowledge!$A$2:$A$9,0)),"")))</f>
        <v/>
      </c>
      <c r="I471" s="4">
        <f>IF($D471="Custom","",IFERROR(XLOOKUP($B471&amp;"|"&amp;$D471,ShiftKnowledge!$A$2:$A$9,ShiftKnowledge!$F$2:$F$9,""),IFERROR(INDEX(ShiftKnowledge!$F$2:$F$9,MATCH($B471&amp;"|"&amp;$D471,ShiftKnowledge!$A$2:$A$9,0)),"")))</f>
        <v/>
      </c>
      <c r="J471" s="4">
        <f>IF($D471="Custom","",IFERROR(XLOOKUP($B471&amp;"|"&amp;$D471,ShiftKnowledge!$A$2:$A$9,ShiftKnowledge!$G$2:$G$9,""),IFERROR(INDEX(ShiftKnowledge!$G$2:$G$9,MATCH($B471&amp;"|"&amp;$D471,ShiftKnowledge!$A$2:$A$9,0)),"")))</f>
        <v/>
      </c>
      <c r="K471" s="4">
        <f>IF($D471="Custom","",IFERROR(XLOOKUP($B471&amp;"|"&amp;$D471,ShiftKnowledge!$A$2:$A$9,ShiftKnowledge!$H$2:$H$9,""),IFERROR(INDEX(ShiftKnowledge!$H$2:$H$9,MATCH($B471&amp;"|"&amp;$D471,ShiftKnowledge!$A$2:$A$9,0)),"")))</f>
        <v/>
      </c>
      <c r="L471" s="4">
        <f>IF($D471="Custom","",IFERROR(XLOOKUP($B471&amp;"|"&amp;$D471,ShiftKnowledge!$A$2:$A$9,ShiftKnowledge!$I$2:$I$9,""),IFERROR(INDEX(ShiftKnowledge!$I$2:$I$9,MATCH($B471&amp;"|"&amp;$D471,ShiftKnowledge!$A$2:$A$9,0)),"")))</f>
        <v/>
      </c>
      <c r="M471" s="4" t="inlineStr"/>
    </row>
    <row r="472" ht="20" customHeight="1">
      <c r="A472" s="6" t="inlineStr">
        <is>
          <t>19/11/2025</t>
        </is>
      </c>
      <c r="B472" s="6" t="inlineStr">
        <is>
          <t>Ophthalmology</t>
        </is>
      </c>
      <c r="C472" s="7" t="inlineStr">
        <is>
          <t>Dr. Nafeesa Abdul Latheef</t>
        </is>
      </c>
      <c r="D472" s="6" t="inlineStr"/>
      <c r="E472" s="6">
        <f>IF($D472="Custom","",IFERROR(XLOOKUP($B472&amp;"|"&amp;$D472,ShiftKnowledge!$A$2:$A$9,ShiftKnowledge!$D$2:$D$9,""),IFERROR(INDEX(ShiftKnowledge!$D$2:$D$9,MATCH($B472&amp;"|"&amp;$D472,ShiftKnowledge!$A$2:$A$9,0)),"")))</f>
        <v/>
      </c>
      <c r="F472" s="6" t="inlineStr"/>
      <c r="G472" s="6">
        <f>IF(AND($I472="",$L472=""),"",IFERROR(VALUE($I472),0)+IFERROR(VALUE($L472),0))</f>
        <v/>
      </c>
      <c r="H472" s="6">
        <f>IF($D472="Custom","",IFERROR(XLOOKUP($B472&amp;"|"&amp;$D472,ShiftKnowledge!$A$2:$A$9,ShiftKnowledge!$E$2:$E$9,""),IFERROR(INDEX(ShiftKnowledge!$E$2:$E$9,MATCH($B472&amp;"|"&amp;$D472,ShiftKnowledge!$A$2:$A$9,0)),"")))</f>
        <v/>
      </c>
      <c r="I472" s="6">
        <f>IF($D472="Custom","",IFERROR(XLOOKUP($B472&amp;"|"&amp;$D472,ShiftKnowledge!$A$2:$A$9,ShiftKnowledge!$F$2:$F$9,""),IFERROR(INDEX(ShiftKnowledge!$F$2:$F$9,MATCH($B472&amp;"|"&amp;$D472,ShiftKnowledge!$A$2:$A$9,0)),"")))</f>
        <v/>
      </c>
      <c r="J472" s="6">
        <f>IF($D472="Custom","",IFERROR(XLOOKUP($B472&amp;"|"&amp;$D472,ShiftKnowledge!$A$2:$A$9,ShiftKnowledge!$G$2:$G$9,""),IFERROR(INDEX(ShiftKnowledge!$G$2:$G$9,MATCH($B472&amp;"|"&amp;$D472,ShiftKnowledge!$A$2:$A$9,0)),"")))</f>
        <v/>
      </c>
      <c r="K472" s="6">
        <f>IF($D472="Custom","",IFERROR(XLOOKUP($B472&amp;"|"&amp;$D472,ShiftKnowledge!$A$2:$A$9,ShiftKnowledge!$H$2:$H$9,""),IFERROR(INDEX(ShiftKnowledge!$H$2:$H$9,MATCH($B472&amp;"|"&amp;$D472,ShiftKnowledge!$A$2:$A$9,0)),"")))</f>
        <v/>
      </c>
      <c r="L472" s="6">
        <f>IF($D472="Custom","",IFERROR(XLOOKUP($B472&amp;"|"&amp;$D472,ShiftKnowledge!$A$2:$A$9,ShiftKnowledge!$I$2:$I$9,""),IFERROR(INDEX(ShiftKnowledge!$I$2:$I$9,MATCH($B472&amp;"|"&amp;$D472,ShiftKnowledge!$A$2:$A$9,0)),"")))</f>
        <v/>
      </c>
      <c r="M472" s="6" t="inlineStr"/>
    </row>
    <row r="473" ht="20" customHeight="1">
      <c r="A473" s="4" t="inlineStr">
        <is>
          <t>19/11/2025</t>
        </is>
      </c>
      <c r="B473" s="4" t="inlineStr">
        <is>
          <t>ENT</t>
        </is>
      </c>
      <c r="C473" s="5" t="inlineStr">
        <is>
          <t>Dr. Nishesh Raj Shrestha</t>
        </is>
      </c>
      <c r="D473" s="4" t="inlineStr"/>
      <c r="E473" s="4">
        <f>IF($D473="Custom","",IFERROR(XLOOKUP($B473&amp;"|"&amp;$D473,ShiftKnowledge!$A$2:$A$9,ShiftKnowledge!$D$2:$D$9,""),IFERROR(INDEX(ShiftKnowledge!$D$2:$D$9,MATCH($B473&amp;"|"&amp;$D473,ShiftKnowledge!$A$2:$A$9,0)),"")))</f>
        <v/>
      </c>
      <c r="F473" s="4" t="inlineStr"/>
      <c r="G473" s="4">
        <f>IF(AND($I473="",$L473=""),"",IFERROR(VALUE($I473),0)+IFERROR(VALUE($L473),0))</f>
        <v/>
      </c>
      <c r="H473" s="4">
        <f>IF($D473="Custom","",IFERROR(XLOOKUP($B473&amp;"|"&amp;$D473,ShiftKnowledge!$A$2:$A$9,ShiftKnowledge!$E$2:$E$9,""),IFERROR(INDEX(ShiftKnowledge!$E$2:$E$9,MATCH($B473&amp;"|"&amp;$D473,ShiftKnowledge!$A$2:$A$9,0)),"")))</f>
        <v/>
      </c>
      <c r="I473" s="4">
        <f>IF($D473="Custom","",IFERROR(XLOOKUP($B473&amp;"|"&amp;$D473,ShiftKnowledge!$A$2:$A$9,ShiftKnowledge!$F$2:$F$9,""),IFERROR(INDEX(ShiftKnowledge!$F$2:$F$9,MATCH($B473&amp;"|"&amp;$D473,ShiftKnowledge!$A$2:$A$9,0)),"")))</f>
        <v/>
      </c>
      <c r="J473" s="4">
        <f>IF($D473="Custom","",IFERROR(XLOOKUP($B473&amp;"|"&amp;$D473,ShiftKnowledge!$A$2:$A$9,ShiftKnowledge!$G$2:$G$9,""),IFERROR(INDEX(ShiftKnowledge!$G$2:$G$9,MATCH($B473&amp;"|"&amp;$D473,ShiftKnowledge!$A$2:$A$9,0)),"")))</f>
        <v/>
      </c>
      <c r="K473" s="4">
        <f>IF($D473="Custom","",IFERROR(XLOOKUP($B473&amp;"|"&amp;$D473,ShiftKnowledge!$A$2:$A$9,ShiftKnowledge!$H$2:$H$9,""),IFERROR(INDEX(ShiftKnowledge!$H$2:$H$9,MATCH($B473&amp;"|"&amp;$D473,ShiftKnowledge!$A$2:$A$9,0)),"")))</f>
        <v/>
      </c>
      <c r="L473" s="4">
        <f>IF($D473="Custom","",IFERROR(XLOOKUP($B473&amp;"|"&amp;$D473,ShiftKnowledge!$A$2:$A$9,ShiftKnowledge!$I$2:$I$9,""),IFERROR(INDEX(ShiftKnowledge!$I$2:$I$9,MATCH($B473&amp;"|"&amp;$D473,ShiftKnowledge!$A$2:$A$9,0)),"")))</f>
        <v/>
      </c>
      <c r="M473" s="4" t="inlineStr"/>
    </row>
    <row r="474" ht="20" customHeight="1">
      <c r="A474" s="6" t="inlineStr">
        <is>
          <t>19/11/2025</t>
        </is>
      </c>
      <c r="B474" s="6" t="inlineStr">
        <is>
          <t>ENT</t>
        </is>
      </c>
      <c r="C474" s="7" t="inlineStr">
        <is>
          <t>Dr. Rachit Pokharel</t>
        </is>
      </c>
      <c r="D474" s="6" t="inlineStr"/>
      <c r="E474" s="6">
        <f>IF($D474="Custom","",IFERROR(XLOOKUP($B474&amp;"|"&amp;$D474,ShiftKnowledge!$A$2:$A$9,ShiftKnowledge!$D$2:$D$9,""),IFERROR(INDEX(ShiftKnowledge!$D$2:$D$9,MATCH($B474&amp;"|"&amp;$D474,ShiftKnowledge!$A$2:$A$9,0)),"")))</f>
        <v/>
      </c>
      <c r="F474" s="6" t="inlineStr"/>
      <c r="G474" s="6">
        <f>IF(AND($I474="",$L474=""),"",IFERROR(VALUE($I474),0)+IFERROR(VALUE($L474),0))</f>
        <v/>
      </c>
      <c r="H474" s="6">
        <f>IF($D474="Custom","",IFERROR(XLOOKUP($B474&amp;"|"&amp;$D474,ShiftKnowledge!$A$2:$A$9,ShiftKnowledge!$E$2:$E$9,""),IFERROR(INDEX(ShiftKnowledge!$E$2:$E$9,MATCH($B474&amp;"|"&amp;$D474,ShiftKnowledge!$A$2:$A$9,0)),"")))</f>
        <v/>
      </c>
      <c r="I474" s="6">
        <f>IF($D474="Custom","",IFERROR(XLOOKUP($B474&amp;"|"&amp;$D474,ShiftKnowledge!$A$2:$A$9,ShiftKnowledge!$F$2:$F$9,""),IFERROR(INDEX(ShiftKnowledge!$F$2:$F$9,MATCH($B474&amp;"|"&amp;$D474,ShiftKnowledge!$A$2:$A$9,0)),"")))</f>
        <v/>
      </c>
      <c r="J474" s="6">
        <f>IF($D474="Custom","",IFERROR(XLOOKUP($B474&amp;"|"&amp;$D474,ShiftKnowledge!$A$2:$A$9,ShiftKnowledge!$G$2:$G$9,""),IFERROR(INDEX(ShiftKnowledge!$G$2:$G$9,MATCH($B474&amp;"|"&amp;$D474,ShiftKnowledge!$A$2:$A$9,0)),"")))</f>
        <v/>
      </c>
      <c r="K474" s="6">
        <f>IF($D474="Custom","",IFERROR(XLOOKUP($B474&amp;"|"&amp;$D474,ShiftKnowledge!$A$2:$A$9,ShiftKnowledge!$H$2:$H$9,""),IFERROR(INDEX(ShiftKnowledge!$H$2:$H$9,MATCH($B474&amp;"|"&amp;$D474,ShiftKnowledge!$A$2:$A$9,0)),"")))</f>
        <v/>
      </c>
      <c r="L474" s="6">
        <f>IF($D474="Custom","",IFERROR(XLOOKUP($B474&amp;"|"&amp;$D474,ShiftKnowledge!$A$2:$A$9,ShiftKnowledge!$I$2:$I$9,""),IFERROR(INDEX(ShiftKnowledge!$I$2:$I$9,MATCH($B474&amp;"|"&amp;$D474,ShiftKnowledge!$A$2:$A$9,0)),"")))</f>
        <v/>
      </c>
      <c r="M474" s="6" t="inlineStr"/>
    </row>
    <row r="475" ht="20" customHeight="1">
      <c r="A475" s="4" t="inlineStr">
        <is>
          <t>19/11/2025</t>
        </is>
      </c>
      <c r="B475" s="4" t="inlineStr">
        <is>
          <t>Ophthalmology</t>
        </is>
      </c>
      <c r="C475" s="5" t="inlineStr">
        <is>
          <t>Dr. Remon Girgis Lamee Girgis</t>
        </is>
      </c>
      <c r="D475" s="4" t="inlineStr"/>
      <c r="E475" s="4">
        <f>IF($D475="Custom","",IFERROR(XLOOKUP($B475&amp;"|"&amp;$D475,ShiftKnowledge!$A$2:$A$9,ShiftKnowledge!$D$2:$D$9,""),IFERROR(INDEX(ShiftKnowledge!$D$2:$D$9,MATCH($B475&amp;"|"&amp;$D475,ShiftKnowledge!$A$2:$A$9,0)),"")))</f>
        <v/>
      </c>
      <c r="F475" s="4" t="inlineStr"/>
      <c r="G475" s="4">
        <f>IF(AND($I475="",$L475=""),"",IFERROR(VALUE($I475),0)+IFERROR(VALUE($L475),0))</f>
        <v/>
      </c>
      <c r="H475" s="4">
        <f>IF($D475="Custom","",IFERROR(XLOOKUP($B475&amp;"|"&amp;$D475,ShiftKnowledge!$A$2:$A$9,ShiftKnowledge!$E$2:$E$9,""),IFERROR(INDEX(ShiftKnowledge!$E$2:$E$9,MATCH($B475&amp;"|"&amp;$D475,ShiftKnowledge!$A$2:$A$9,0)),"")))</f>
        <v/>
      </c>
      <c r="I475" s="4">
        <f>IF($D475="Custom","",IFERROR(XLOOKUP($B475&amp;"|"&amp;$D475,ShiftKnowledge!$A$2:$A$9,ShiftKnowledge!$F$2:$F$9,""),IFERROR(INDEX(ShiftKnowledge!$F$2:$F$9,MATCH($B475&amp;"|"&amp;$D475,ShiftKnowledge!$A$2:$A$9,0)),"")))</f>
        <v/>
      </c>
      <c r="J475" s="4">
        <f>IF($D475="Custom","",IFERROR(XLOOKUP($B475&amp;"|"&amp;$D475,ShiftKnowledge!$A$2:$A$9,ShiftKnowledge!$G$2:$G$9,""),IFERROR(INDEX(ShiftKnowledge!$G$2:$G$9,MATCH($B475&amp;"|"&amp;$D475,ShiftKnowledge!$A$2:$A$9,0)),"")))</f>
        <v/>
      </c>
      <c r="K475" s="4">
        <f>IF($D475="Custom","",IFERROR(XLOOKUP($B475&amp;"|"&amp;$D475,ShiftKnowledge!$A$2:$A$9,ShiftKnowledge!$H$2:$H$9,""),IFERROR(INDEX(ShiftKnowledge!$H$2:$H$9,MATCH($B475&amp;"|"&amp;$D475,ShiftKnowledge!$A$2:$A$9,0)),"")))</f>
        <v/>
      </c>
      <c r="L475" s="4">
        <f>IF($D475="Custom","",IFERROR(XLOOKUP($B475&amp;"|"&amp;$D475,ShiftKnowledge!$A$2:$A$9,ShiftKnowledge!$I$2:$I$9,""),IFERROR(INDEX(ShiftKnowledge!$I$2:$I$9,MATCH($B475&amp;"|"&amp;$D475,ShiftKnowledge!$A$2:$A$9,0)),"")))</f>
        <v/>
      </c>
      <c r="M475" s="4" t="inlineStr"/>
    </row>
    <row r="476" ht="20" customHeight="1">
      <c r="A476" s="6" t="inlineStr">
        <is>
          <t>19/11/2025</t>
        </is>
      </c>
      <c r="B476" s="6" t="inlineStr">
        <is>
          <t>Paediatrics</t>
        </is>
      </c>
      <c r="C476" s="7" t="inlineStr">
        <is>
          <t>Dr. Roshan Kumar Dikshit</t>
        </is>
      </c>
      <c r="D476" s="6" t="inlineStr"/>
      <c r="E476" s="6">
        <f>IF($D476="Custom","",IFERROR(XLOOKUP($B476&amp;"|"&amp;$D476,ShiftKnowledge!$A$2:$A$9,ShiftKnowledge!$D$2:$D$9,""),IFERROR(INDEX(ShiftKnowledge!$D$2:$D$9,MATCH($B476&amp;"|"&amp;$D476,ShiftKnowledge!$A$2:$A$9,0)),"")))</f>
        <v/>
      </c>
      <c r="F476" s="6" t="inlineStr"/>
      <c r="G476" s="6">
        <f>IF(AND($I476="",$L476=""),"",IFERROR(VALUE($I476),0)+IFERROR(VALUE($L476),0))</f>
        <v/>
      </c>
      <c r="H476" s="6">
        <f>IF($D476="Custom","",IFERROR(XLOOKUP($B476&amp;"|"&amp;$D476,ShiftKnowledge!$A$2:$A$9,ShiftKnowledge!$E$2:$E$9,""),IFERROR(INDEX(ShiftKnowledge!$E$2:$E$9,MATCH($B476&amp;"|"&amp;$D476,ShiftKnowledge!$A$2:$A$9,0)),"")))</f>
        <v/>
      </c>
      <c r="I476" s="6">
        <f>IF($D476="Custom","",IFERROR(XLOOKUP($B476&amp;"|"&amp;$D476,ShiftKnowledge!$A$2:$A$9,ShiftKnowledge!$F$2:$F$9,""),IFERROR(INDEX(ShiftKnowledge!$F$2:$F$9,MATCH($B476&amp;"|"&amp;$D476,ShiftKnowledge!$A$2:$A$9,0)),"")))</f>
        <v/>
      </c>
      <c r="J476" s="6">
        <f>IF($D476="Custom","",IFERROR(XLOOKUP($B476&amp;"|"&amp;$D476,ShiftKnowledge!$A$2:$A$9,ShiftKnowledge!$G$2:$G$9,""),IFERROR(INDEX(ShiftKnowledge!$G$2:$G$9,MATCH($B476&amp;"|"&amp;$D476,ShiftKnowledge!$A$2:$A$9,0)),"")))</f>
        <v/>
      </c>
      <c r="K476" s="6">
        <f>IF($D476="Custom","",IFERROR(XLOOKUP($B476&amp;"|"&amp;$D476,ShiftKnowledge!$A$2:$A$9,ShiftKnowledge!$H$2:$H$9,""),IFERROR(INDEX(ShiftKnowledge!$H$2:$H$9,MATCH($B476&amp;"|"&amp;$D476,ShiftKnowledge!$A$2:$A$9,0)),"")))</f>
        <v/>
      </c>
      <c r="L476" s="6">
        <f>IF($D476="Custom","",IFERROR(XLOOKUP($B476&amp;"|"&amp;$D476,ShiftKnowledge!$A$2:$A$9,ShiftKnowledge!$I$2:$I$9,""),IFERROR(INDEX(ShiftKnowledge!$I$2:$I$9,MATCH($B476&amp;"|"&amp;$D476,ShiftKnowledge!$A$2:$A$9,0)),"")))</f>
        <v/>
      </c>
      <c r="M476" s="6" t="inlineStr"/>
    </row>
    <row r="477" ht="20" customHeight="1">
      <c r="A477" s="4" t="inlineStr">
        <is>
          <t>19/11/2025</t>
        </is>
      </c>
      <c r="B477" s="4" t="inlineStr">
        <is>
          <t>Ophthalmology</t>
        </is>
      </c>
      <c r="C477" s="5" t="inlineStr">
        <is>
          <t>Dr. Roxy Devi Chirom</t>
        </is>
      </c>
      <c r="D477" s="4" t="inlineStr"/>
      <c r="E477" s="4">
        <f>IF($D477="Custom","",IFERROR(XLOOKUP($B477&amp;"|"&amp;$D477,ShiftKnowledge!$A$2:$A$9,ShiftKnowledge!$D$2:$D$9,""),IFERROR(INDEX(ShiftKnowledge!$D$2:$D$9,MATCH($B477&amp;"|"&amp;$D477,ShiftKnowledge!$A$2:$A$9,0)),"")))</f>
        <v/>
      </c>
      <c r="F477" s="4" t="inlineStr"/>
      <c r="G477" s="4">
        <f>IF(AND($I477="",$L477=""),"",IFERROR(VALUE($I477),0)+IFERROR(VALUE($L477),0))</f>
        <v/>
      </c>
      <c r="H477" s="4">
        <f>IF($D477="Custom","",IFERROR(XLOOKUP($B477&amp;"|"&amp;$D477,ShiftKnowledge!$A$2:$A$9,ShiftKnowledge!$E$2:$E$9,""),IFERROR(INDEX(ShiftKnowledge!$E$2:$E$9,MATCH($B477&amp;"|"&amp;$D477,ShiftKnowledge!$A$2:$A$9,0)),"")))</f>
        <v/>
      </c>
      <c r="I477" s="4">
        <f>IF($D477="Custom","",IFERROR(XLOOKUP($B477&amp;"|"&amp;$D477,ShiftKnowledge!$A$2:$A$9,ShiftKnowledge!$F$2:$F$9,""),IFERROR(INDEX(ShiftKnowledge!$F$2:$F$9,MATCH($B477&amp;"|"&amp;$D477,ShiftKnowledge!$A$2:$A$9,0)),"")))</f>
        <v/>
      </c>
      <c r="J477" s="4">
        <f>IF($D477="Custom","",IFERROR(XLOOKUP($B477&amp;"|"&amp;$D477,ShiftKnowledge!$A$2:$A$9,ShiftKnowledge!$G$2:$G$9,""),IFERROR(INDEX(ShiftKnowledge!$G$2:$G$9,MATCH($B477&amp;"|"&amp;$D477,ShiftKnowledge!$A$2:$A$9,0)),"")))</f>
        <v/>
      </c>
      <c r="K477" s="4">
        <f>IF($D477="Custom","",IFERROR(XLOOKUP($B477&amp;"|"&amp;$D477,ShiftKnowledge!$A$2:$A$9,ShiftKnowledge!$H$2:$H$9,""),IFERROR(INDEX(ShiftKnowledge!$H$2:$H$9,MATCH($B477&amp;"|"&amp;$D477,ShiftKnowledge!$A$2:$A$9,0)),"")))</f>
        <v/>
      </c>
      <c r="L477" s="4">
        <f>IF($D477="Custom","",IFERROR(XLOOKUP($B477&amp;"|"&amp;$D477,ShiftKnowledge!$A$2:$A$9,ShiftKnowledge!$I$2:$I$9,""),IFERROR(INDEX(ShiftKnowledge!$I$2:$I$9,MATCH($B477&amp;"|"&amp;$D477,ShiftKnowledge!$A$2:$A$9,0)),"")))</f>
        <v/>
      </c>
      <c r="M477" s="4" t="inlineStr"/>
    </row>
    <row r="478" ht="20" customHeight="1">
      <c r="A478" s="6" t="inlineStr">
        <is>
          <t>19/11/2025</t>
        </is>
      </c>
      <c r="B478" s="6" t="inlineStr">
        <is>
          <t>General Surgery</t>
        </is>
      </c>
      <c r="C478" s="7" t="inlineStr">
        <is>
          <t>Dr. Rubab Nafees</t>
        </is>
      </c>
      <c r="D478" s="6" t="inlineStr"/>
      <c r="E478" s="6">
        <f>IF($D478="Custom","",IFERROR(XLOOKUP($B478&amp;"|"&amp;$D478,ShiftKnowledge!$A$2:$A$9,ShiftKnowledge!$D$2:$D$9,""),IFERROR(INDEX(ShiftKnowledge!$D$2:$D$9,MATCH($B478&amp;"|"&amp;$D478,ShiftKnowledge!$A$2:$A$9,0)),"")))</f>
        <v/>
      </c>
      <c r="F478" s="6" t="inlineStr"/>
      <c r="G478" s="6">
        <f>IF(AND($I478="",$L478=""),"",IFERROR(VALUE($I478),0)+IFERROR(VALUE($L478),0))</f>
        <v/>
      </c>
      <c r="H478" s="6">
        <f>IF($D478="Custom","",IFERROR(XLOOKUP($B478&amp;"|"&amp;$D478,ShiftKnowledge!$A$2:$A$9,ShiftKnowledge!$E$2:$E$9,""),IFERROR(INDEX(ShiftKnowledge!$E$2:$E$9,MATCH($B478&amp;"|"&amp;$D478,ShiftKnowledge!$A$2:$A$9,0)),"")))</f>
        <v/>
      </c>
      <c r="I478" s="6">
        <f>IF($D478="Custom","",IFERROR(XLOOKUP($B478&amp;"|"&amp;$D478,ShiftKnowledge!$A$2:$A$9,ShiftKnowledge!$F$2:$F$9,""),IFERROR(INDEX(ShiftKnowledge!$F$2:$F$9,MATCH($B478&amp;"|"&amp;$D478,ShiftKnowledge!$A$2:$A$9,0)),"")))</f>
        <v/>
      </c>
      <c r="J478" s="6">
        <f>IF($D478="Custom","",IFERROR(XLOOKUP($B478&amp;"|"&amp;$D478,ShiftKnowledge!$A$2:$A$9,ShiftKnowledge!$G$2:$G$9,""),IFERROR(INDEX(ShiftKnowledge!$G$2:$G$9,MATCH($B478&amp;"|"&amp;$D478,ShiftKnowledge!$A$2:$A$9,0)),"")))</f>
        <v/>
      </c>
      <c r="K478" s="6">
        <f>IF($D478="Custom","",IFERROR(XLOOKUP($B478&amp;"|"&amp;$D478,ShiftKnowledge!$A$2:$A$9,ShiftKnowledge!$H$2:$H$9,""),IFERROR(INDEX(ShiftKnowledge!$H$2:$H$9,MATCH($B478&amp;"|"&amp;$D478,ShiftKnowledge!$A$2:$A$9,0)),"")))</f>
        <v/>
      </c>
      <c r="L478" s="6">
        <f>IF($D478="Custom","",IFERROR(XLOOKUP($B478&amp;"|"&amp;$D478,ShiftKnowledge!$A$2:$A$9,ShiftKnowledge!$I$2:$I$9,""),IFERROR(INDEX(ShiftKnowledge!$I$2:$I$9,MATCH($B478&amp;"|"&amp;$D478,ShiftKnowledge!$A$2:$A$9,0)),"")))</f>
        <v/>
      </c>
      <c r="M478" s="6" t="inlineStr"/>
    </row>
    <row r="479" ht="20" customHeight="1">
      <c r="A479" s="4" t="inlineStr">
        <is>
          <t>19/11/2025</t>
        </is>
      </c>
      <c r="B479" s="4" t="inlineStr">
        <is>
          <t>Gynaecology</t>
        </is>
      </c>
      <c r="C479" s="5" t="inlineStr">
        <is>
          <t>Dr. Rubeena Badar Khan</t>
        </is>
      </c>
      <c r="D479" s="4" t="inlineStr"/>
      <c r="E479" s="4">
        <f>IF($D479="Custom","",IFERROR(XLOOKUP($B479&amp;"|"&amp;$D479,ShiftKnowledge!$A$2:$A$9,ShiftKnowledge!$D$2:$D$9,""),IFERROR(INDEX(ShiftKnowledge!$D$2:$D$9,MATCH($B479&amp;"|"&amp;$D479,ShiftKnowledge!$A$2:$A$9,0)),"")))</f>
        <v/>
      </c>
      <c r="F479" s="4" t="inlineStr"/>
      <c r="G479" s="4">
        <f>IF(AND($I479="",$L479=""),"",IFERROR(VALUE($I479),0)+IFERROR(VALUE($L479),0))</f>
        <v/>
      </c>
      <c r="H479" s="4">
        <f>IF($D479="Custom","",IFERROR(XLOOKUP($B479&amp;"|"&amp;$D479,ShiftKnowledge!$A$2:$A$9,ShiftKnowledge!$E$2:$E$9,""),IFERROR(INDEX(ShiftKnowledge!$E$2:$E$9,MATCH($B479&amp;"|"&amp;$D479,ShiftKnowledge!$A$2:$A$9,0)),"")))</f>
        <v/>
      </c>
      <c r="I479" s="4">
        <f>IF($D479="Custom","",IFERROR(XLOOKUP($B479&amp;"|"&amp;$D479,ShiftKnowledge!$A$2:$A$9,ShiftKnowledge!$F$2:$F$9,""),IFERROR(INDEX(ShiftKnowledge!$F$2:$F$9,MATCH($B479&amp;"|"&amp;$D479,ShiftKnowledge!$A$2:$A$9,0)),"")))</f>
        <v/>
      </c>
      <c r="J479" s="4">
        <f>IF($D479="Custom","",IFERROR(XLOOKUP($B479&amp;"|"&amp;$D479,ShiftKnowledge!$A$2:$A$9,ShiftKnowledge!$G$2:$G$9,""),IFERROR(INDEX(ShiftKnowledge!$G$2:$G$9,MATCH($B479&amp;"|"&amp;$D479,ShiftKnowledge!$A$2:$A$9,0)),"")))</f>
        <v/>
      </c>
      <c r="K479" s="4">
        <f>IF($D479="Custom","",IFERROR(XLOOKUP($B479&amp;"|"&amp;$D479,ShiftKnowledge!$A$2:$A$9,ShiftKnowledge!$H$2:$H$9,""),IFERROR(INDEX(ShiftKnowledge!$H$2:$H$9,MATCH($B479&amp;"|"&amp;$D479,ShiftKnowledge!$A$2:$A$9,0)),"")))</f>
        <v/>
      </c>
      <c r="L479" s="4">
        <f>IF($D479="Custom","",IFERROR(XLOOKUP($B479&amp;"|"&amp;$D479,ShiftKnowledge!$A$2:$A$9,ShiftKnowledge!$I$2:$I$9,""),IFERROR(INDEX(ShiftKnowledge!$I$2:$I$9,MATCH($B479&amp;"|"&amp;$D479,ShiftKnowledge!$A$2:$A$9,0)),"")))</f>
        <v/>
      </c>
      <c r="M479" s="4" t="inlineStr"/>
    </row>
    <row r="480" ht="20" customHeight="1">
      <c r="A480" s="6" t="inlineStr">
        <is>
          <t>19/11/2025</t>
        </is>
      </c>
      <c r="B480" s="6" t="inlineStr">
        <is>
          <t>Dental</t>
        </is>
      </c>
      <c r="C480" s="7" t="inlineStr">
        <is>
          <t>Dr. Safa Abdul Gayyoom</t>
        </is>
      </c>
      <c r="D480" s="6" t="inlineStr"/>
      <c r="E480" s="6">
        <f>IF($D480="Custom","",IFERROR(XLOOKUP($B480&amp;"|"&amp;$D480,ShiftKnowledge!$A$2:$A$9,ShiftKnowledge!$D$2:$D$9,""),IFERROR(INDEX(ShiftKnowledge!$D$2:$D$9,MATCH($B480&amp;"|"&amp;$D480,ShiftKnowledge!$A$2:$A$9,0)),"")))</f>
        <v/>
      </c>
      <c r="F480" s="6" t="inlineStr"/>
      <c r="G480" s="6">
        <f>IF(AND($I480="",$L480=""),"",IFERROR(VALUE($I480),0)+IFERROR(VALUE($L480),0))</f>
        <v/>
      </c>
      <c r="H480" s="6">
        <f>IF($D480="Custom","",IFERROR(XLOOKUP($B480&amp;"|"&amp;$D480,ShiftKnowledge!$A$2:$A$9,ShiftKnowledge!$E$2:$E$9,""),IFERROR(INDEX(ShiftKnowledge!$E$2:$E$9,MATCH($B480&amp;"|"&amp;$D480,ShiftKnowledge!$A$2:$A$9,0)),"")))</f>
        <v/>
      </c>
      <c r="I480" s="6">
        <f>IF($D480="Custom","",IFERROR(XLOOKUP($B480&amp;"|"&amp;$D480,ShiftKnowledge!$A$2:$A$9,ShiftKnowledge!$F$2:$F$9,""),IFERROR(INDEX(ShiftKnowledge!$F$2:$F$9,MATCH($B480&amp;"|"&amp;$D480,ShiftKnowledge!$A$2:$A$9,0)),"")))</f>
        <v/>
      </c>
      <c r="J480" s="6">
        <f>IF($D480="Custom","",IFERROR(XLOOKUP($B480&amp;"|"&amp;$D480,ShiftKnowledge!$A$2:$A$9,ShiftKnowledge!$G$2:$G$9,""),IFERROR(INDEX(ShiftKnowledge!$G$2:$G$9,MATCH($B480&amp;"|"&amp;$D480,ShiftKnowledge!$A$2:$A$9,0)),"")))</f>
        <v/>
      </c>
      <c r="K480" s="6">
        <f>IF($D480="Custom","",IFERROR(XLOOKUP($B480&amp;"|"&amp;$D480,ShiftKnowledge!$A$2:$A$9,ShiftKnowledge!$H$2:$H$9,""),IFERROR(INDEX(ShiftKnowledge!$H$2:$H$9,MATCH($B480&amp;"|"&amp;$D480,ShiftKnowledge!$A$2:$A$9,0)),"")))</f>
        <v/>
      </c>
      <c r="L480" s="6">
        <f>IF($D480="Custom","",IFERROR(XLOOKUP($B480&amp;"|"&amp;$D480,ShiftKnowledge!$A$2:$A$9,ShiftKnowledge!$I$2:$I$9,""),IFERROR(INDEX(ShiftKnowledge!$I$2:$I$9,MATCH($B480&amp;"|"&amp;$D480,ShiftKnowledge!$A$2:$A$9,0)),"")))</f>
        <v/>
      </c>
      <c r="M480" s="6" t="inlineStr"/>
    </row>
    <row r="481" ht="20" customHeight="1">
      <c r="A481" s="4" t="inlineStr">
        <is>
          <t>19/11/2025</t>
        </is>
      </c>
      <c r="B481" s="4" t="inlineStr">
        <is>
          <t>Internal Medicine</t>
        </is>
      </c>
      <c r="C481" s="5" t="inlineStr">
        <is>
          <t>Dr. Saroj Thapa</t>
        </is>
      </c>
      <c r="D481" s="4" t="inlineStr"/>
      <c r="E481" s="4">
        <f>IF($D481="Custom","",IFERROR(XLOOKUP($B481&amp;"|"&amp;$D481,ShiftKnowledge!$A$2:$A$9,ShiftKnowledge!$D$2:$D$9,""),IFERROR(INDEX(ShiftKnowledge!$D$2:$D$9,MATCH($B481&amp;"|"&amp;$D481,ShiftKnowledge!$A$2:$A$9,0)),"")))</f>
        <v/>
      </c>
      <c r="F481" s="4" t="inlineStr"/>
      <c r="G481" s="4">
        <f>IF(AND($I481="",$L481=""),"",IFERROR(VALUE($I481),0)+IFERROR(VALUE($L481),0))</f>
        <v/>
      </c>
      <c r="H481" s="4">
        <f>IF($D481="Custom","",IFERROR(XLOOKUP($B481&amp;"|"&amp;$D481,ShiftKnowledge!$A$2:$A$9,ShiftKnowledge!$E$2:$E$9,""),IFERROR(INDEX(ShiftKnowledge!$E$2:$E$9,MATCH($B481&amp;"|"&amp;$D481,ShiftKnowledge!$A$2:$A$9,0)),"")))</f>
        <v/>
      </c>
      <c r="I481" s="4">
        <f>IF($D481="Custom","",IFERROR(XLOOKUP($B481&amp;"|"&amp;$D481,ShiftKnowledge!$A$2:$A$9,ShiftKnowledge!$F$2:$F$9,""),IFERROR(INDEX(ShiftKnowledge!$F$2:$F$9,MATCH($B481&amp;"|"&amp;$D481,ShiftKnowledge!$A$2:$A$9,0)),"")))</f>
        <v/>
      </c>
      <c r="J481" s="4">
        <f>IF($D481="Custom","",IFERROR(XLOOKUP($B481&amp;"|"&amp;$D481,ShiftKnowledge!$A$2:$A$9,ShiftKnowledge!$G$2:$G$9,""),IFERROR(INDEX(ShiftKnowledge!$G$2:$G$9,MATCH($B481&amp;"|"&amp;$D481,ShiftKnowledge!$A$2:$A$9,0)),"")))</f>
        <v/>
      </c>
      <c r="K481" s="4">
        <f>IF($D481="Custom","",IFERROR(XLOOKUP($B481&amp;"|"&amp;$D481,ShiftKnowledge!$A$2:$A$9,ShiftKnowledge!$H$2:$H$9,""),IFERROR(INDEX(ShiftKnowledge!$H$2:$H$9,MATCH($B481&amp;"|"&amp;$D481,ShiftKnowledge!$A$2:$A$9,0)),"")))</f>
        <v/>
      </c>
      <c r="L481" s="4">
        <f>IF($D481="Custom","",IFERROR(XLOOKUP($B481&amp;"|"&amp;$D481,ShiftKnowledge!$A$2:$A$9,ShiftKnowledge!$I$2:$I$9,""),IFERROR(INDEX(ShiftKnowledge!$I$2:$I$9,MATCH($B481&amp;"|"&amp;$D481,ShiftKnowledge!$A$2:$A$9,0)),"")))</f>
        <v/>
      </c>
      <c r="M481" s="4" t="inlineStr"/>
    </row>
    <row r="482" ht="20" customHeight="1">
      <c r="A482" s="6" t="inlineStr">
        <is>
          <t>19/11/2025</t>
        </is>
      </c>
      <c r="B482" s="6" t="inlineStr">
        <is>
          <t>General Surgery</t>
        </is>
      </c>
      <c r="C482" s="7" t="inlineStr">
        <is>
          <t>Dr. Su Mon Kyaw</t>
        </is>
      </c>
      <c r="D482" s="6" t="inlineStr"/>
      <c r="E482" s="6">
        <f>IF($D482="Custom","",IFERROR(XLOOKUP($B482&amp;"|"&amp;$D482,ShiftKnowledge!$A$2:$A$9,ShiftKnowledge!$D$2:$D$9,""),IFERROR(INDEX(ShiftKnowledge!$D$2:$D$9,MATCH($B482&amp;"|"&amp;$D482,ShiftKnowledge!$A$2:$A$9,0)),"")))</f>
        <v/>
      </c>
      <c r="F482" s="6" t="inlineStr"/>
      <c r="G482" s="6">
        <f>IF(AND($I482="",$L482=""),"",IFERROR(VALUE($I482),0)+IFERROR(VALUE($L482),0))</f>
        <v/>
      </c>
      <c r="H482" s="6">
        <f>IF($D482="Custom","",IFERROR(XLOOKUP($B482&amp;"|"&amp;$D482,ShiftKnowledge!$A$2:$A$9,ShiftKnowledge!$E$2:$E$9,""),IFERROR(INDEX(ShiftKnowledge!$E$2:$E$9,MATCH($B482&amp;"|"&amp;$D482,ShiftKnowledge!$A$2:$A$9,0)),"")))</f>
        <v/>
      </c>
      <c r="I482" s="6">
        <f>IF($D482="Custom","",IFERROR(XLOOKUP($B482&amp;"|"&amp;$D482,ShiftKnowledge!$A$2:$A$9,ShiftKnowledge!$F$2:$F$9,""),IFERROR(INDEX(ShiftKnowledge!$F$2:$F$9,MATCH($B482&amp;"|"&amp;$D482,ShiftKnowledge!$A$2:$A$9,0)),"")))</f>
        <v/>
      </c>
      <c r="J482" s="6">
        <f>IF($D482="Custom","",IFERROR(XLOOKUP($B482&amp;"|"&amp;$D482,ShiftKnowledge!$A$2:$A$9,ShiftKnowledge!$G$2:$G$9,""),IFERROR(INDEX(ShiftKnowledge!$G$2:$G$9,MATCH($B482&amp;"|"&amp;$D482,ShiftKnowledge!$A$2:$A$9,0)),"")))</f>
        <v/>
      </c>
      <c r="K482" s="6">
        <f>IF($D482="Custom","",IFERROR(XLOOKUP($B482&amp;"|"&amp;$D482,ShiftKnowledge!$A$2:$A$9,ShiftKnowledge!$H$2:$H$9,""),IFERROR(INDEX(ShiftKnowledge!$H$2:$H$9,MATCH($B482&amp;"|"&amp;$D482,ShiftKnowledge!$A$2:$A$9,0)),"")))</f>
        <v/>
      </c>
      <c r="L482" s="6">
        <f>IF($D482="Custom","",IFERROR(XLOOKUP($B482&amp;"|"&amp;$D482,ShiftKnowledge!$A$2:$A$9,ShiftKnowledge!$I$2:$I$9,""),IFERROR(INDEX(ShiftKnowledge!$I$2:$I$9,MATCH($B482&amp;"|"&amp;$D482,ShiftKnowledge!$A$2:$A$9,0)),"")))</f>
        <v/>
      </c>
      <c r="M482" s="6" t="inlineStr"/>
    </row>
    <row r="483" ht="20" customHeight="1">
      <c r="A483" s="4" t="inlineStr">
        <is>
          <t>19/11/2025</t>
        </is>
      </c>
      <c r="B483" s="4" t="inlineStr">
        <is>
          <t>Internal Medicine</t>
        </is>
      </c>
      <c r="C483" s="5" t="inlineStr">
        <is>
          <t>Dr. Sumretee</t>
        </is>
      </c>
      <c r="D483" s="4" t="inlineStr"/>
      <c r="E483" s="4">
        <f>IF($D483="Custom","",IFERROR(XLOOKUP($B483&amp;"|"&amp;$D483,ShiftKnowledge!$A$2:$A$9,ShiftKnowledge!$D$2:$D$9,""),IFERROR(INDEX(ShiftKnowledge!$D$2:$D$9,MATCH($B483&amp;"|"&amp;$D483,ShiftKnowledge!$A$2:$A$9,0)),"")))</f>
        <v/>
      </c>
      <c r="F483" s="4" t="inlineStr"/>
      <c r="G483" s="4">
        <f>IF(AND($I483="",$L483=""),"",IFERROR(VALUE($I483),0)+IFERROR(VALUE($L483),0))</f>
        <v/>
      </c>
      <c r="H483" s="4">
        <f>IF($D483="Custom","",IFERROR(XLOOKUP($B483&amp;"|"&amp;$D483,ShiftKnowledge!$A$2:$A$9,ShiftKnowledge!$E$2:$E$9,""),IFERROR(INDEX(ShiftKnowledge!$E$2:$E$9,MATCH($B483&amp;"|"&amp;$D483,ShiftKnowledge!$A$2:$A$9,0)),"")))</f>
        <v/>
      </c>
      <c r="I483" s="4">
        <f>IF($D483="Custom","",IFERROR(XLOOKUP($B483&amp;"|"&amp;$D483,ShiftKnowledge!$A$2:$A$9,ShiftKnowledge!$F$2:$F$9,""),IFERROR(INDEX(ShiftKnowledge!$F$2:$F$9,MATCH($B483&amp;"|"&amp;$D483,ShiftKnowledge!$A$2:$A$9,0)),"")))</f>
        <v/>
      </c>
      <c r="J483" s="4">
        <f>IF($D483="Custom","",IFERROR(XLOOKUP($B483&amp;"|"&amp;$D483,ShiftKnowledge!$A$2:$A$9,ShiftKnowledge!$G$2:$G$9,""),IFERROR(INDEX(ShiftKnowledge!$G$2:$G$9,MATCH($B483&amp;"|"&amp;$D483,ShiftKnowledge!$A$2:$A$9,0)),"")))</f>
        <v/>
      </c>
      <c r="K483" s="4">
        <f>IF($D483="Custom","",IFERROR(XLOOKUP($B483&amp;"|"&amp;$D483,ShiftKnowledge!$A$2:$A$9,ShiftKnowledge!$H$2:$H$9,""),IFERROR(INDEX(ShiftKnowledge!$H$2:$H$9,MATCH($B483&amp;"|"&amp;$D483,ShiftKnowledge!$A$2:$A$9,0)),"")))</f>
        <v/>
      </c>
      <c r="L483" s="4">
        <f>IF($D483="Custom","",IFERROR(XLOOKUP($B483&amp;"|"&amp;$D483,ShiftKnowledge!$A$2:$A$9,ShiftKnowledge!$I$2:$I$9,""),IFERROR(INDEX(ShiftKnowledge!$I$2:$I$9,MATCH($B483&amp;"|"&amp;$D483,ShiftKnowledge!$A$2:$A$9,0)),"")))</f>
        <v/>
      </c>
      <c r="M483" s="4" t="inlineStr"/>
    </row>
    <row r="484" ht="20" customHeight="1">
      <c r="A484" s="6" t="inlineStr">
        <is>
          <t>19/11/2025</t>
        </is>
      </c>
      <c r="B484" s="6" t="inlineStr">
        <is>
          <t>Orthopaedics</t>
        </is>
      </c>
      <c r="C484" s="7" t="inlineStr">
        <is>
          <t>Dr. Vinod Ramlal</t>
        </is>
      </c>
      <c r="D484" s="6" t="inlineStr"/>
      <c r="E484" s="6">
        <f>IF($D484="Custom","",IFERROR(XLOOKUP($B484&amp;"|"&amp;$D484,ShiftKnowledge!$A$2:$A$9,ShiftKnowledge!$D$2:$D$9,""),IFERROR(INDEX(ShiftKnowledge!$D$2:$D$9,MATCH($B484&amp;"|"&amp;$D484,ShiftKnowledge!$A$2:$A$9,0)),"")))</f>
        <v/>
      </c>
      <c r="F484" s="6" t="inlineStr"/>
      <c r="G484" s="6">
        <f>IF(AND($I484="",$L484=""),"",IFERROR(VALUE($I484),0)+IFERROR(VALUE($L484),0))</f>
        <v/>
      </c>
      <c r="H484" s="6">
        <f>IF($D484="Custom","",IFERROR(XLOOKUP($B484&amp;"|"&amp;$D484,ShiftKnowledge!$A$2:$A$9,ShiftKnowledge!$E$2:$E$9,""),IFERROR(INDEX(ShiftKnowledge!$E$2:$E$9,MATCH($B484&amp;"|"&amp;$D484,ShiftKnowledge!$A$2:$A$9,0)),"")))</f>
        <v/>
      </c>
      <c r="I484" s="6">
        <f>IF($D484="Custom","",IFERROR(XLOOKUP($B484&amp;"|"&amp;$D484,ShiftKnowledge!$A$2:$A$9,ShiftKnowledge!$F$2:$F$9,""),IFERROR(INDEX(ShiftKnowledge!$F$2:$F$9,MATCH($B484&amp;"|"&amp;$D484,ShiftKnowledge!$A$2:$A$9,0)),"")))</f>
        <v/>
      </c>
      <c r="J484" s="6">
        <f>IF($D484="Custom","",IFERROR(XLOOKUP($B484&amp;"|"&amp;$D484,ShiftKnowledge!$A$2:$A$9,ShiftKnowledge!$G$2:$G$9,""),IFERROR(INDEX(ShiftKnowledge!$G$2:$G$9,MATCH($B484&amp;"|"&amp;$D484,ShiftKnowledge!$A$2:$A$9,0)),"")))</f>
        <v/>
      </c>
      <c r="K484" s="6">
        <f>IF($D484="Custom","",IFERROR(XLOOKUP($B484&amp;"|"&amp;$D484,ShiftKnowledge!$A$2:$A$9,ShiftKnowledge!$H$2:$H$9,""),IFERROR(INDEX(ShiftKnowledge!$H$2:$H$9,MATCH($B484&amp;"|"&amp;$D484,ShiftKnowledge!$A$2:$A$9,0)),"")))</f>
        <v/>
      </c>
      <c r="L484" s="6">
        <f>IF($D484="Custom","",IFERROR(XLOOKUP($B484&amp;"|"&amp;$D484,ShiftKnowledge!$A$2:$A$9,ShiftKnowledge!$I$2:$I$9,""),IFERROR(INDEX(ShiftKnowledge!$I$2:$I$9,MATCH($B484&amp;"|"&amp;$D484,ShiftKnowledge!$A$2:$A$9,0)),"")))</f>
        <v/>
      </c>
      <c r="M484" s="6" t="inlineStr"/>
    </row>
    <row r="485" ht="20" customHeight="1">
      <c r="A485" s="4" t="inlineStr">
        <is>
          <t>19/11/2025</t>
        </is>
      </c>
      <c r="B485" s="4" t="inlineStr">
        <is>
          <t>Paediatrics</t>
        </is>
      </c>
      <c r="C485" s="5" t="inlineStr">
        <is>
          <t>Dr. Yi Nwe Soe</t>
        </is>
      </c>
      <c r="D485" s="4" t="inlineStr"/>
      <c r="E485" s="4">
        <f>IF($D485="Custom","",IFERROR(XLOOKUP($B485&amp;"|"&amp;$D485,ShiftKnowledge!$A$2:$A$9,ShiftKnowledge!$D$2:$D$9,""),IFERROR(INDEX(ShiftKnowledge!$D$2:$D$9,MATCH($B485&amp;"|"&amp;$D485,ShiftKnowledge!$A$2:$A$9,0)),"")))</f>
        <v/>
      </c>
      <c r="F485" s="4" t="inlineStr"/>
      <c r="G485" s="4">
        <f>IF(AND($I485="",$L485=""),"",IFERROR(VALUE($I485),0)+IFERROR(VALUE($L485),0))</f>
        <v/>
      </c>
      <c r="H485" s="4">
        <f>IF($D485="Custom","",IFERROR(XLOOKUP($B485&amp;"|"&amp;$D485,ShiftKnowledge!$A$2:$A$9,ShiftKnowledge!$E$2:$E$9,""),IFERROR(INDEX(ShiftKnowledge!$E$2:$E$9,MATCH($B485&amp;"|"&amp;$D485,ShiftKnowledge!$A$2:$A$9,0)),"")))</f>
        <v/>
      </c>
      <c r="I485" s="4">
        <f>IF($D485="Custom","",IFERROR(XLOOKUP($B485&amp;"|"&amp;$D485,ShiftKnowledge!$A$2:$A$9,ShiftKnowledge!$F$2:$F$9,""),IFERROR(INDEX(ShiftKnowledge!$F$2:$F$9,MATCH($B485&amp;"|"&amp;$D485,ShiftKnowledge!$A$2:$A$9,0)),"")))</f>
        <v/>
      </c>
      <c r="J485" s="4">
        <f>IF($D485="Custom","",IFERROR(XLOOKUP($B485&amp;"|"&amp;$D485,ShiftKnowledge!$A$2:$A$9,ShiftKnowledge!$G$2:$G$9,""),IFERROR(INDEX(ShiftKnowledge!$G$2:$G$9,MATCH($B485&amp;"|"&amp;$D485,ShiftKnowledge!$A$2:$A$9,0)),"")))</f>
        <v/>
      </c>
      <c r="K485" s="4">
        <f>IF($D485="Custom","",IFERROR(XLOOKUP($B485&amp;"|"&amp;$D485,ShiftKnowledge!$A$2:$A$9,ShiftKnowledge!$H$2:$H$9,""),IFERROR(INDEX(ShiftKnowledge!$H$2:$H$9,MATCH($B485&amp;"|"&amp;$D485,ShiftKnowledge!$A$2:$A$9,0)),"")))</f>
        <v/>
      </c>
      <c r="L485" s="4">
        <f>IF($D485="Custom","",IFERROR(XLOOKUP($B485&amp;"|"&amp;$D485,ShiftKnowledge!$A$2:$A$9,ShiftKnowledge!$I$2:$I$9,""),IFERROR(INDEX(ShiftKnowledge!$I$2:$I$9,MATCH($B485&amp;"|"&amp;$D485,ShiftKnowledge!$A$2:$A$9,0)),"")))</f>
        <v/>
      </c>
      <c r="M485" s="4" t="inlineStr"/>
    </row>
    <row r="486" ht="20" customHeight="1">
      <c r="A486" s="6" t="inlineStr">
        <is>
          <t>19/11/2025</t>
        </is>
      </c>
      <c r="B486" s="6" t="inlineStr">
        <is>
          <t>Gynaecology</t>
        </is>
      </c>
      <c r="C486" s="7" t="inlineStr">
        <is>
          <t>Dr. Zarina Kabilova</t>
        </is>
      </c>
      <c r="D486" s="6" t="inlineStr"/>
      <c r="E486" s="6">
        <f>IF($D486="Custom","",IFERROR(XLOOKUP($B486&amp;"|"&amp;$D486,ShiftKnowledge!$A$2:$A$9,ShiftKnowledge!$D$2:$D$9,""),IFERROR(INDEX(ShiftKnowledge!$D$2:$D$9,MATCH($B486&amp;"|"&amp;$D486,ShiftKnowledge!$A$2:$A$9,0)),"")))</f>
        <v/>
      </c>
      <c r="F486" s="6" t="inlineStr"/>
      <c r="G486" s="6">
        <f>IF(AND($I486="",$L486=""),"",IFERROR(VALUE($I486),0)+IFERROR(VALUE($L486),0))</f>
        <v/>
      </c>
      <c r="H486" s="6">
        <f>IF($D486="Custom","",IFERROR(XLOOKUP($B486&amp;"|"&amp;$D486,ShiftKnowledge!$A$2:$A$9,ShiftKnowledge!$E$2:$E$9,""),IFERROR(INDEX(ShiftKnowledge!$E$2:$E$9,MATCH($B486&amp;"|"&amp;$D486,ShiftKnowledge!$A$2:$A$9,0)),"")))</f>
        <v/>
      </c>
      <c r="I486" s="6">
        <f>IF($D486="Custom","",IFERROR(XLOOKUP($B486&amp;"|"&amp;$D486,ShiftKnowledge!$A$2:$A$9,ShiftKnowledge!$F$2:$F$9,""),IFERROR(INDEX(ShiftKnowledge!$F$2:$F$9,MATCH($B486&amp;"|"&amp;$D486,ShiftKnowledge!$A$2:$A$9,0)),"")))</f>
        <v/>
      </c>
      <c r="J486" s="6">
        <f>IF($D486="Custom","",IFERROR(XLOOKUP($B486&amp;"|"&amp;$D486,ShiftKnowledge!$A$2:$A$9,ShiftKnowledge!$G$2:$G$9,""),IFERROR(INDEX(ShiftKnowledge!$G$2:$G$9,MATCH($B486&amp;"|"&amp;$D486,ShiftKnowledge!$A$2:$A$9,0)),"")))</f>
        <v/>
      </c>
      <c r="K486" s="6">
        <f>IF($D486="Custom","",IFERROR(XLOOKUP($B486&amp;"|"&amp;$D486,ShiftKnowledge!$A$2:$A$9,ShiftKnowledge!$H$2:$H$9,""),IFERROR(INDEX(ShiftKnowledge!$H$2:$H$9,MATCH($B486&amp;"|"&amp;$D486,ShiftKnowledge!$A$2:$A$9,0)),"")))</f>
        <v/>
      </c>
      <c r="L486" s="6">
        <f>IF($D486="Custom","",IFERROR(XLOOKUP($B486&amp;"|"&amp;$D486,ShiftKnowledge!$A$2:$A$9,ShiftKnowledge!$I$2:$I$9,""),IFERROR(INDEX(ShiftKnowledge!$I$2:$I$9,MATCH($B486&amp;"|"&amp;$D486,ShiftKnowledge!$A$2:$A$9,0)),"")))</f>
        <v/>
      </c>
      <c r="M486" s="6" t="inlineStr"/>
    </row>
    <row r="487" ht="20" customHeight="1">
      <c r="A487" s="4" t="inlineStr">
        <is>
          <t>20/11/2025</t>
        </is>
      </c>
      <c r="B487" s="4" t="inlineStr">
        <is>
          <t>Orthopaedics</t>
        </is>
      </c>
      <c r="C487" s="5" t="inlineStr">
        <is>
          <t>Dr. Ahmed Azim Abdul Shakoor</t>
        </is>
      </c>
      <c r="D487" s="4" t="inlineStr"/>
      <c r="E487" s="4">
        <f>IF($D487="Custom","",IFERROR(XLOOKUP($B487&amp;"|"&amp;$D487,ShiftKnowledge!$A$2:$A$9,ShiftKnowledge!$D$2:$D$9,""),IFERROR(INDEX(ShiftKnowledge!$D$2:$D$9,MATCH($B487&amp;"|"&amp;$D487,ShiftKnowledge!$A$2:$A$9,0)),"")))</f>
        <v/>
      </c>
      <c r="F487" s="4" t="inlineStr"/>
      <c r="G487" s="4">
        <f>IF(AND($I487="",$L487=""),"",IFERROR(VALUE($I487),0)+IFERROR(VALUE($L487),0))</f>
        <v/>
      </c>
      <c r="H487" s="4">
        <f>IF($D487="Custom","",IFERROR(XLOOKUP($B487&amp;"|"&amp;$D487,ShiftKnowledge!$A$2:$A$9,ShiftKnowledge!$E$2:$E$9,""),IFERROR(INDEX(ShiftKnowledge!$E$2:$E$9,MATCH($B487&amp;"|"&amp;$D487,ShiftKnowledge!$A$2:$A$9,0)),"")))</f>
        <v/>
      </c>
      <c r="I487" s="4">
        <f>IF($D487="Custom","",IFERROR(XLOOKUP($B487&amp;"|"&amp;$D487,ShiftKnowledge!$A$2:$A$9,ShiftKnowledge!$F$2:$F$9,""),IFERROR(INDEX(ShiftKnowledge!$F$2:$F$9,MATCH($B487&amp;"|"&amp;$D487,ShiftKnowledge!$A$2:$A$9,0)),"")))</f>
        <v/>
      </c>
      <c r="J487" s="4">
        <f>IF($D487="Custom","",IFERROR(XLOOKUP($B487&amp;"|"&amp;$D487,ShiftKnowledge!$A$2:$A$9,ShiftKnowledge!$G$2:$G$9,""),IFERROR(INDEX(ShiftKnowledge!$G$2:$G$9,MATCH($B487&amp;"|"&amp;$D487,ShiftKnowledge!$A$2:$A$9,0)),"")))</f>
        <v/>
      </c>
      <c r="K487" s="4">
        <f>IF($D487="Custom","",IFERROR(XLOOKUP($B487&amp;"|"&amp;$D487,ShiftKnowledge!$A$2:$A$9,ShiftKnowledge!$H$2:$H$9,""),IFERROR(INDEX(ShiftKnowledge!$H$2:$H$9,MATCH($B487&amp;"|"&amp;$D487,ShiftKnowledge!$A$2:$A$9,0)),"")))</f>
        <v/>
      </c>
      <c r="L487" s="4">
        <f>IF($D487="Custom","",IFERROR(XLOOKUP($B487&amp;"|"&amp;$D487,ShiftKnowledge!$A$2:$A$9,ShiftKnowledge!$I$2:$I$9,""),IFERROR(INDEX(ShiftKnowledge!$I$2:$I$9,MATCH($B487&amp;"|"&amp;$D487,ShiftKnowledge!$A$2:$A$9,0)),"")))</f>
        <v/>
      </c>
      <c r="M487" s="4" t="inlineStr"/>
    </row>
    <row r="488" ht="20" customHeight="1">
      <c r="A488" s="6" t="inlineStr">
        <is>
          <t>20/11/2025</t>
        </is>
      </c>
      <c r="B488" s="6" t="inlineStr">
        <is>
          <t>Dermatology</t>
        </is>
      </c>
      <c r="C488" s="7" t="inlineStr">
        <is>
          <t>Dr. Ahmed Fekry Bahyeldin Khalafallah</t>
        </is>
      </c>
      <c r="D488" s="6" t="inlineStr"/>
      <c r="E488" s="6">
        <f>IF($D488="Custom","",IFERROR(XLOOKUP($B488&amp;"|"&amp;$D488,ShiftKnowledge!$A$2:$A$9,ShiftKnowledge!$D$2:$D$9,""),IFERROR(INDEX(ShiftKnowledge!$D$2:$D$9,MATCH($B488&amp;"|"&amp;$D488,ShiftKnowledge!$A$2:$A$9,0)),"")))</f>
        <v/>
      </c>
      <c r="F488" s="6" t="inlineStr"/>
      <c r="G488" s="6">
        <f>IF(AND($I488="",$L488=""),"",IFERROR(VALUE($I488),0)+IFERROR(VALUE($L488),0))</f>
        <v/>
      </c>
      <c r="H488" s="6">
        <f>IF($D488="Custom","",IFERROR(XLOOKUP($B488&amp;"|"&amp;$D488,ShiftKnowledge!$A$2:$A$9,ShiftKnowledge!$E$2:$E$9,""),IFERROR(INDEX(ShiftKnowledge!$E$2:$E$9,MATCH($B488&amp;"|"&amp;$D488,ShiftKnowledge!$A$2:$A$9,0)),"")))</f>
        <v/>
      </c>
      <c r="I488" s="6">
        <f>IF($D488="Custom","",IFERROR(XLOOKUP($B488&amp;"|"&amp;$D488,ShiftKnowledge!$A$2:$A$9,ShiftKnowledge!$F$2:$F$9,""),IFERROR(INDEX(ShiftKnowledge!$F$2:$F$9,MATCH($B488&amp;"|"&amp;$D488,ShiftKnowledge!$A$2:$A$9,0)),"")))</f>
        <v/>
      </c>
      <c r="J488" s="6">
        <f>IF($D488="Custom","",IFERROR(XLOOKUP($B488&amp;"|"&amp;$D488,ShiftKnowledge!$A$2:$A$9,ShiftKnowledge!$G$2:$G$9,""),IFERROR(INDEX(ShiftKnowledge!$G$2:$G$9,MATCH($B488&amp;"|"&amp;$D488,ShiftKnowledge!$A$2:$A$9,0)),"")))</f>
        <v/>
      </c>
      <c r="K488" s="6">
        <f>IF($D488="Custom","",IFERROR(XLOOKUP($B488&amp;"|"&amp;$D488,ShiftKnowledge!$A$2:$A$9,ShiftKnowledge!$H$2:$H$9,""),IFERROR(INDEX(ShiftKnowledge!$H$2:$H$9,MATCH($B488&amp;"|"&amp;$D488,ShiftKnowledge!$A$2:$A$9,0)),"")))</f>
        <v/>
      </c>
      <c r="L488" s="6">
        <f>IF($D488="Custom","",IFERROR(XLOOKUP($B488&amp;"|"&amp;$D488,ShiftKnowledge!$A$2:$A$9,ShiftKnowledge!$I$2:$I$9,""),IFERROR(INDEX(ShiftKnowledge!$I$2:$I$9,MATCH($B488&amp;"|"&amp;$D488,ShiftKnowledge!$A$2:$A$9,0)),"")))</f>
        <v/>
      </c>
      <c r="M488" s="6" t="inlineStr"/>
    </row>
    <row r="489" ht="20" customHeight="1">
      <c r="A489" s="4" t="inlineStr">
        <is>
          <t>20/11/2025</t>
        </is>
      </c>
      <c r="B489" s="4" t="inlineStr">
        <is>
          <t>Pulmonology</t>
        </is>
      </c>
      <c r="C489" s="5" t="inlineStr">
        <is>
          <t>Dr. Ahmed Gamal Youssef Meselhi</t>
        </is>
      </c>
      <c r="D489" s="4" t="inlineStr"/>
      <c r="E489" s="4">
        <f>IF($D489="Custom","",IFERROR(XLOOKUP($B489&amp;"|"&amp;$D489,ShiftKnowledge!$A$2:$A$9,ShiftKnowledge!$D$2:$D$9,""),IFERROR(INDEX(ShiftKnowledge!$D$2:$D$9,MATCH($B489&amp;"|"&amp;$D489,ShiftKnowledge!$A$2:$A$9,0)),"")))</f>
        <v/>
      </c>
      <c r="F489" s="4" t="inlineStr"/>
      <c r="G489" s="4">
        <f>IF(AND($I489="",$L489=""),"",IFERROR(VALUE($I489),0)+IFERROR(VALUE($L489),0))</f>
        <v/>
      </c>
      <c r="H489" s="4">
        <f>IF($D489="Custom","",IFERROR(XLOOKUP($B489&amp;"|"&amp;$D489,ShiftKnowledge!$A$2:$A$9,ShiftKnowledge!$E$2:$E$9,""),IFERROR(INDEX(ShiftKnowledge!$E$2:$E$9,MATCH($B489&amp;"|"&amp;$D489,ShiftKnowledge!$A$2:$A$9,0)),"")))</f>
        <v/>
      </c>
      <c r="I489" s="4">
        <f>IF($D489="Custom","",IFERROR(XLOOKUP($B489&amp;"|"&amp;$D489,ShiftKnowledge!$A$2:$A$9,ShiftKnowledge!$F$2:$F$9,""),IFERROR(INDEX(ShiftKnowledge!$F$2:$F$9,MATCH($B489&amp;"|"&amp;$D489,ShiftKnowledge!$A$2:$A$9,0)),"")))</f>
        <v/>
      </c>
      <c r="J489" s="4">
        <f>IF($D489="Custom","",IFERROR(XLOOKUP($B489&amp;"|"&amp;$D489,ShiftKnowledge!$A$2:$A$9,ShiftKnowledge!$G$2:$G$9,""),IFERROR(INDEX(ShiftKnowledge!$G$2:$G$9,MATCH($B489&amp;"|"&amp;$D489,ShiftKnowledge!$A$2:$A$9,0)),"")))</f>
        <v/>
      </c>
      <c r="K489" s="4">
        <f>IF($D489="Custom","",IFERROR(XLOOKUP($B489&amp;"|"&amp;$D489,ShiftKnowledge!$A$2:$A$9,ShiftKnowledge!$H$2:$H$9,""),IFERROR(INDEX(ShiftKnowledge!$H$2:$H$9,MATCH($B489&amp;"|"&amp;$D489,ShiftKnowledge!$A$2:$A$9,0)),"")))</f>
        <v/>
      </c>
      <c r="L489" s="4">
        <f>IF($D489="Custom","",IFERROR(XLOOKUP($B489&amp;"|"&amp;$D489,ShiftKnowledge!$A$2:$A$9,ShiftKnowledge!$I$2:$I$9,""),IFERROR(INDEX(ShiftKnowledge!$I$2:$I$9,MATCH($B489&amp;"|"&amp;$D489,ShiftKnowledge!$A$2:$A$9,0)),"")))</f>
        <v/>
      </c>
      <c r="M489" s="4" t="inlineStr"/>
    </row>
    <row r="490" ht="20" customHeight="1">
      <c r="A490" s="6" t="inlineStr">
        <is>
          <t>20/11/2025</t>
        </is>
      </c>
      <c r="B490" s="6" t="inlineStr">
        <is>
          <t>Dental</t>
        </is>
      </c>
      <c r="C490" s="7" t="inlineStr">
        <is>
          <t>Dr. Aishath Suha Ali</t>
        </is>
      </c>
      <c r="D490" s="6" t="inlineStr"/>
      <c r="E490" s="6">
        <f>IF($D490="Custom","",IFERROR(XLOOKUP($B490&amp;"|"&amp;$D490,ShiftKnowledge!$A$2:$A$9,ShiftKnowledge!$D$2:$D$9,""),IFERROR(INDEX(ShiftKnowledge!$D$2:$D$9,MATCH($B490&amp;"|"&amp;$D490,ShiftKnowledge!$A$2:$A$9,0)),"")))</f>
        <v/>
      </c>
      <c r="F490" s="6" t="inlineStr"/>
      <c r="G490" s="6">
        <f>IF(AND($I490="",$L490=""),"",IFERROR(VALUE($I490),0)+IFERROR(VALUE($L490),0))</f>
        <v/>
      </c>
      <c r="H490" s="6">
        <f>IF($D490="Custom","",IFERROR(XLOOKUP($B490&amp;"|"&amp;$D490,ShiftKnowledge!$A$2:$A$9,ShiftKnowledge!$E$2:$E$9,""),IFERROR(INDEX(ShiftKnowledge!$E$2:$E$9,MATCH($B490&amp;"|"&amp;$D490,ShiftKnowledge!$A$2:$A$9,0)),"")))</f>
        <v/>
      </c>
      <c r="I490" s="6">
        <f>IF($D490="Custom","",IFERROR(XLOOKUP($B490&amp;"|"&amp;$D490,ShiftKnowledge!$A$2:$A$9,ShiftKnowledge!$F$2:$F$9,""),IFERROR(INDEX(ShiftKnowledge!$F$2:$F$9,MATCH($B490&amp;"|"&amp;$D490,ShiftKnowledge!$A$2:$A$9,0)),"")))</f>
        <v/>
      </c>
      <c r="J490" s="6">
        <f>IF($D490="Custom","",IFERROR(XLOOKUP($B490&amp;"|"&amp;$D490,ShiftKnowledge!$A$2:$A$9,ShiftKnowledge!$G$2:$G$9,""),IFERROR(INDEX(ShiftKnowledge!$G$2:$G$9,MATCH($B490&amp;"|"&amp;$D490,ShiftKnowledge!$A$2:$A$9,0)),"")))</f>
        <v/>
      </c>
      <c r="K490" s="6">
        <f>IF($D490="Custom","",IFERROR(XLOOKUP($B490&amp;"|"&amp;$D490,ShiftKnowledge!$A$2:$A$9,ShiftKnowledge!$H$2:$H$9,""),IFERROR(INDEX(ShiftKnowledge!$H$2:$H$9,MATCH($B490&amp;"|"&amp;$D490,ShiftKnowledge!$A$2:$A$9,0)),"")))</f>
        <v/>
      </c>
      <c r="L490" s="6">
        <f>IF($D490="Custom","",IFERROR(XLOOKUP($B490&amp;"|"&amp;$D490,ShiftKnowledge!$A$2:$A$9,ShiftKnowledge!$I$2:$I$9,""),IFERROR(INDEX(ShiftKnowledge!$I$2:$I$9,MATCH($B490&amp;"|"&amp;$D490,ShiftKnowledge!$A$2:$A$9,0)),"")))</f>
        <v/>
      </c>
      <c r="M490" s="6" t="inlineStr"/>
    </row>
    <row r="491" ht="20" customHeight="1">
      <c r="A491" s="4" t="inlineStr">
        <is>
          <t>20/11/2025</t>
        </is>
      </c>
      <c r="B491" s="4" t="inlineStr">
        <is>
          <t>Paediatrics</t>
        </is>
      </c>
      <c r="C491" s="5" t="inlineStr">
        <is>
          <t>Dr. Alaa Adel Ahmed Sayed Ahmed Sobeih Elamawey</t>
        </is>
      </c>
      <c r="D491" s="4" t="inlineStr"/>
      <c r="E491" s="4">
        <f>IF($D491="Custom","",IFERROR(XLOOKUP($B491&amp;"|"&amp;$D491,ShiftKnowledge!$A$2:$A$9,ShiftKnowledge!$D$2:$D$9,""),IFERROR(INDEX(ShiftKnowledge!$D$2:$D$9,MATCH($B491&amp;"|"&amp;$D491,ShiftKnowledge!$A$2:$A$9,0)),"")))</f>
        <v/>
      </c>
      <c r="F491" s="4" t="inlineStr"/>
      <c r="G491" s="4">
        <f>IF(AND($I491="",$L491=""),"",IFERROR(VALUE($I491),0)+IFERROR(VALUE($L491),0))</f>
        <v/>
      </c>
      <c r="H491" s="4">
        <f>IF($D491="Custom","",IFERROR(XLOOKUP($B491&amp;"|"&amp;$D491,ShiftKnowledge!$A$2:$A$9,ShiftKnowledge!$E$2:$E$9,""),IFERROR(INDEX(ShiftKnowledge!$E$2:$E$9,MATCH($B491&amp;"|"&amp;$D491,ShiftKnowledge!$A$2:$A$9,0)),"")))</f>
        <v/>
      </c>
      <c r="I491" s="4">
        <f>IF($D491="Custom","",IFERROR(XLOOKUP($B491&amp;"|"&amp;$D491,ShiftKnowledge!$A$2:$A$9,ShiftKnowledge!$F$2:$F$9,""),IFERROR(INDEX(ShiftKnowledge!$F$2:$F$9,MATCH($B491&amp;"|"&amp;$D491,ShiftKnowledge!$A$2:$A$9,0)),"")))</f>
        <v/>
      </c>
      <c r="J491" s="4">
        <f>IF($D491="Custom","",IFERROR(XLOOKUP($B491&amp;"|"&amp;$D491,ShiftKnowledge!$A$2:$A$9,ShiftKnowledge!$G$2:$G$9,""),IFERROR(INDEX(ShiftKnowledge!$G$2:$G$9,MATCH($B491&amp;"|"&amp;$D491,ShiftKnowledge!$A$2:$A$9,0)),"")))</f>
        <v/>
      </c>
      <c r="K491" s="4">
        <f>IF($D491="Custom","",IFERROR(XLOOKUP($B491&amp;"|"&amp;$D491,ShiftKnowledge!$A$2:$A$9,ShiftKnowledge!$H$2:$H$9,""),IFERROR(INDEX(ShiftKnowledge!$H$2:$H$9,MATCH($B491&amp;"|"&amp;$D491,ShiftKnowledge!$A$2:$A$9,0)),"")))</f>
        <v/>
      </c>
      <c r="L491" s="4">
        <f>IF($D491="Custom","",IFERROR(XLOOKUP($B491&amp;"|"&amp;$D491,ShiftKnowledge!$A$2:$A$9,ShiftKnowledge!$I$2:$I$9,""),IFERROR(INDEX(ShiftKnowledge!$I$2:$I$9,MATCH($B491&amp;"|"&amp;$D491,ShiftKnowledge!$A$2:$A$9,0)),"")))</f>
        <v/>
      </c>
      <c r="M491" s="4" t="inlineStr"/>
    </row>
    <row r="492" ht="20" customHeight="1">
      <c r="A492" s="6" t="inlineStr">
        <is>
          <t>20/11/2025</t>
        </is>
      </c>
      <c r="B492" s="6" t="inlineStr">
        <is>
          <t>Paediatrics</t>
        </is>
      </c>
      <c r="C492" s="7" t="inlineStr">
        <is>
          <t>Dr. Alisha Joshi</t>
        </is>
      </c>
      <c r="D492" s="6" t="inlineStr"/>
      <c r="E492" s="6">
        <f>IF($D492="Custom","",IFERROR(XLOOKUP($B492&amp;"|"&amp;$D492,ShiftKnowledge!$A$2:$A$9,ShiftKnowledge!$D$2:$D$9,""),IFERROR(INDEX(ShiftKnowledge!$D$2:$D$9,MATCH($B492&amp;"|"&amp;$D492,ShiftKnowledge!$A$2:$A$9,0)),"")))</f>
        <v/>
      </c>
      <c r="F492" s="6" t="inlineStr"/>
      <c r="G492" s="6">
        <f>IF(AND($I492="",$L492=""),"",IFERROR(VALUE($I492),0)+IFERROR(VALUE($L492),0))</f>
        <v/>
      </c>
      <c r="H492" s="6">
        <f>IF($D492="Custom","",IFERROR(XLOOKUP($B492&amp;"|"&amp;$D492,ShiftKnowledge!$A$2:$A$9,ShiftKnowledge!$E$2:$E$9,""),IFERROR(INDEX(ShiftKnowledge!$E$2:$E$9,MATCH($B492&amp;"|"&amp;$D492,ShiftKnowledge!$A$2:$A$9,0)),"")))</f>
        <v/>
      </c>
      <c r="I492" s="6">
        <f>IF($D492="Custom","",IFERROR(XLOOKUP($B492&amp;"|"&amp;$D492,ShiftKnowledge!$A$2:$A$9,ShiftKnowledge!$F$2:$F$9,""),IFERROR(INDEX(ShiftKnowledge!$F$2:$F$9,MATCH($B492&amp;"|"&amp;$D492,ShiftKnowledge!$A$2:$A$9,0)),"")))</f>
        <v/>
      </c>
      <c r="J492" s="6">
        <f>IF($D492="Custom","",IFERROR(XLOOKUP($B492&amp;"|"&amp;$D492,ShiftKnowledge!$A$2:$A$9,ShiftKnowledge!$G$2:$G$9,""),IFERROR(INDEX(ShiftKnowledge!$G$2:$G$9,MATCH($B492&amp;"|"&amp;$D492,ShiftKnowledge!$A$2:$A$9,0)),"")))</f>
        <v/>
      </c>
      <c r="K492" s="6">
        <f>IF($D492="Custom","",IFERROR(XLOOKUP($B492&amp;"|"&amp;$D492,ShiftKnowledge!$A$2:$A$9,ShiftKnowledge!$H$2:$H$9,""),IFERROR(INDEX(ShiftKnowledge!$H$2:$H$9,MATCH($B492&amp;"|"&amp;$D492,ShiftKnowledge!$A$2:$A$9,0)),"")))</f>
        <v/>
      </c>
      <c r="L492" s="6">
        <f>IF($D492="Custom","",IFERROR(XLOOKUP($B492&amp;"|"&amp;$D492,ShiftKnowledge!$A$2:$A$9,ShiftKnowledge!$I$2:$I$9,""),IFERROR(INDEX(ShiftKnowledge!$I$2:$I$9,MATCH($B492&amp;"|"&amp;$D492,ShiftKnowledge!$A$2:$A$9,0)),"")))</f>
        <v/>
      </c>
      <c r="M492" s="6" t="inlineStr"/>
    </row>
    <row r="493" ht="20" customHeight="1">
      <c r="A493" s="4" t="inlineStr">
        <is>
          <t>20/11/2025</t>
        </is>
      </c>
      <c r="B493" s="4" t="inlineStr">
        <is>
          <t>Dental</t>
        </is>
      </c>
      <c r="C493" s="5" t="inlineStr">
        <is>
          <t>Dr. Aminath Dhunyana</t>
        </is>
      </c>
      <c r="D493" s="4" t="inlineStr"/>
      <c r="E493" s="4">
        <f>IF($D493="Custom","",IFERROR(XLOOKUP($B493&amp;"|"&amp;$D493,ShiftKnowledge!$A$2:$A$9,ShiftKnowledge!$D$2:$D$9,""),IFERROR(INDEX(ShiftKnowledge!$D$2:$D$9,MATCH($B493&amp;"|"&amp;$D493,ShiftKnowledge!$A$2:$A$9,0)),"")))</f>
        <v/>
      </c>
      <c r="F493" s="4" t="inlineStr"/>
      <c r="G493" s="4">
        <f>IF(AND($I493="",$L493=""),"",IFERROR(VALUE($I493),0)+IFERROR(VALUE($L493),0))</f>
        <v/>
      </c>
      <c r="H493" s="4">
        <f>IF($D493="Custom","",IFERROR(XLOOKUP($B493&amp;"|"&amp;$D493,ShiftKnowledge!$A$2:$A$9,ShiftKnowledge!$E$2:$E$9,""),IFERROR(INDEX(ShiftKnowledge!$E$2:$E$9,MATCH($B493&amp;"|"&amp;$D493,ShiftKnowledge!$A$2:$A$9,0)),"")))</f>
        <v/>
      </c>
      <c r="I493" s="4">
        <f>IF($D493="Custom","",IFERROR(XLOOKUP($B493&amp;"|"&amp;$D493,ShiftKnowledge!$A$2:$A$9,ShiftKnowledge!$F$2:$F$9,""),IFERROR(INDEX(ShiftKnowledge!$F$2:$F$9,MATCH($B493&amp;"|"&amp;$D493,ShiftKnowledge!$A$2:$A$9,0)),"")))</f>
        <v/>
      </c>
      <c r="J493" s="4">
        <f>IF($D493="Custom","",IFERROR(XLOOKUP($B493&amp;"|"&amp;$D493,ShiftKnowledge!$A$2:$A$9,ShiftKnowledge!$G$2:$G$9,""),IFERROR(INDEX(ShiftKnowledge!$G$2:$G$9,MATCH($B493&amp;"|"&amp;$D493,ShiftKnowledge!$A$2:$A$9,0)),"")))</f>
        <v/>
      </c>
      <c r="K493" s="4">
        <f>IF($D493="Custom","",IFERROR(XLOOKUP($B493&amp;"|"&amp;$D493,ShiftKnowledge!$A$2:$A$9,ShiftKnowledge!$H$2:$H$9,""),IFERROR(INDEX(ShiftKnowledge!$H$2:$H$9,MATCH($B493&amp;"|"&amp;$D493,ShiftKnowledge!$A$2:$A$9,0)),"")))</f>
        <v/>
      </c>
      <c r="L493" s="4">
        <f>IF($D493="Custom","",IFERROR(XLOOKUP($B493&amp;"|"&amp;$D493,ShiftKnowledge!$A$2:$A$9,ShiftKnowledge!$I$2:$I$9,""),IFERROR(INDEX(ShiftKnowledge!$I$2:$I$9,MATCH($B493&amp;"|"&amp;$D493,ShiftKnowledge!$A$2:$A$9,0)),"")))</f>
        <v/>
      </c>
      <c r="M493" s="4" t="inlineStr"/>
    </row>
    <row r="494" ht="20" customHeight="1">
      <c r="A494" s="6" t="inlineStr">
        <is>
          <t>20/11/2025</t>
        </is>
      </c>
      <c r="B494" s="6" t="inlineStr">
        <is>
          <t>Gynaecology</t>
        </is>
      </c>
      <c r="C494" s="7" t="inlineStr">
        <is>
          <t>Dr. Aminath Juhaina</t>
        </is>
      </c>
      <c r="D494" s="6" t="inlineStr"/>
      <c r="E494" s="6">
        <f>IF($D494="Custom","",IFERROR(XLOOKUP($B494&amp;"|"&amp;$D494,ShiftKnowledge!$A$2:$A$9,ShiftKnowledge!$D$2:$D$9,""),IFERROR(INDEX(ShiftKnowledge!$D$2:$D$9,MATCH($B494&amp;"|"&amp;$D494,ShiftKnowledge!$A$2:$A$9,0)),"")))</f>
        <v/>
      </c>
      <c r="F494" s="6" t="inlineStr"/>
      <c r="G494" s="6">
        <f>IF(AND($I494="",$L494=""),"",IFERROR(VALUE($I494),0)+IFERROR(VALUE($L494),0))</f>
        <v/>
      </c>
      <c r="H494" s="6">
        <f>IF($D494="Custom","",IFERROR(XLOOKUP($B494&amp;"|"&amp;$D494,ShiftKnowledge!$A$2:$A$9,ShiftKnowledge!$E$2:$E$9,""),IFERROR(INDEX(ShiftKnowledge!$E$2:$E$9,MATCH($B494&amp;"|"&amp;$D494,ShiftKnowledge!$A$2:$A$9,0)),"")))</f>
        <v/>
      </c>
      <c r="I494" s="6">
        <f>IF($D494="Custom","",IFERROR(XLOOKUP($B494&amp;"|"&amp;$D494,ShiftKnowledge!$A$2:$A$9,ShiftKnowledge!$F$2:$F$9,""),IFERROR(INDEX(ShiftKnowledge!$F$2:$F$9,MATCH($B494&amp;"|"&amp;$D494,ShiftKnowledge!$A$2:$A$9,0)),"")))</f>
        <v/>
      </c>
      <c r="J494" s="6">
        <f>IF($D494="Custom","",IFERROR(XLOOKUP($B494&amp;"|"&amp;$D494,ShiftKnowledge!$A$2:$A$9,ShiftKnowledge!$G$2:$G$9,""),IFERROR(INDEX(ShiftKnowledge!$G$2:$G$9,MATCH($B494&amp;"|"&amp;$D494,ShiftKnowledge!$A$2:$A$9,0)),"")))</f>
        <v/>
      </c>
      <c r="K494" s="6">
        <f>IF($D494="Custom","",IFERROR(XLOOKUP($B494&amp;"|"&amp;$D494,ShiftKnowledge!$A$2:$A$9,ShiftKnowledge!$H$2:$H$9,""),IFERROR(INDEX(ShiftKnowledge!$H$2:$H$9,MATCH($B494&amp;"|"&amp;$D494,ShiftKnowledge!$A$2:$A$9,0)),"")))</f>
        <v/>
      </c>
      <c r="L494" s="6">
        <f>IF($D494="Custom","",IFERROR(XLOOKUP($B494&amp;"|"&amp;$D494,ShiftKnowledge!$A$2:$A$9,ShiftKnowledge!$I$2:$I$9,""),IFERROR(INDEX(ShiftKnowledge!$I$2:$I$9,MATCH($B494&amp;"|"&amp;$D494,ShiftKnowledge!$A$2:$A$9,0)),"")))</f>
        <v/>
      </c>
      <c r="M494" s="6" t="inlineStr"/>
    </row>
    <row r="495" ht="20" customHeight="1">
      <c r="A495" s="4" t="inlineStr">
        <is>
          <t>20/11/2025</t>
        </is>
      </c>
      <c r="B495" s="4" t="inlineStr">
        <is>
          <t>Dental</t>
        </is>
      </c>
      <c r="C495" s="5" t="inlineStr">
        <is>
          <t>Dr. Aminath Khazna Musthafa</t>
        </is>
      </c>
      <c r="D495" s="4" t="inlineStr"/>
      <c r="E495" s="4">
        <f>IF($D495="Custom","",IFERROR(XLOOKUP($B495&amp;"|"&amp;$D495,ShiftKnowledge!$A$2:$A$9,ShiftKnowledge!$D$2:$D$9,""),IFERROR(INDEX(ShiftKnowledge!$D$2:$D$9,MATCH($B495&amp;"|"&amp;$D495,ShiftKnowledge!$A$2:$A$9,0)),"")))</f>
        <v/>
      </c>
      <c r="F495" s="4" t="inlineStr"/>
      <c r="G495" s="4">
        <f>IF(AND($I495="",$L495=""),"",IFERROR(VALUE($I495),0)+IFERROR(VALUE($L495),0))</f>
        <v/>
      </c>
      <c r="H495" s="4">
        <f>IF($D495="Custom","",IFERROR(XLOOKUP($B495&amp;"|"&amp;$D495,ShiftKnowledge!$A$2:$A$9,ShiftKnowledge!$E$2:$E$9,""),IFERROR(INDEX(ShiftKnowledge!$E$2:$E$9,MATCH($B495&amp;"|"&amp;$D495,ShiftKnowledge!$A$2:$A$9,0)),"")))</f>
        <v/>
      </c>
      <c r="I495" s="4">
        <f>IF($D495="Custom","",IFERROR(XLOOKUP($B495&amp;"|"&amp;$D495,ShiftKnowledge!$A$2:$A$9,ShiftKnowledge!$F$2:$F$9,""),IFERROR(INDEX(ShiftKnowledge!$F$2:$F$9,MATCH($B495&amp;"|"&amp;$D495,ShiftKnowledge!$A$2:$A$9,0)),"")))</f>
        <v/>
      </c>
      <c r="J495" s="4">
        <f>IF($D495="Custom","",IFERROR(XLOOKUP($B495&amp;"|"&amp;$D495,ShiftKnowledge!$A$2:$A$9,ShiftKnowledge!$G$2:$G$9,""),IFERROR(INDEX(ShiftKnowledge!$G$2:$G$9,MATCH($B495&amp;"|"&amp;$D495,ShiftKnowledge!$A$2:$A$9,0)),"")))</f>
        <v/>
      </c>
      <c r="K495" s="4">
        <f>IF($D495="Custom","",IFERROR(XLOOKUP($B495&amp;"|"&amp;$D495,ShiftKnowledge!$A$2:$A$9,ShiftKnowledge!$H$2:$H$9,""),IFERROR(INDEX(ShiftKnowledge!$H$2:$H$9,MATCH($B495&amp;"|"&amp;$D495,ShiftKnowledge!$A$2:$A$9,0)),"")))</f>
        <v/>
      </c>
      <c r="L495" s="4">
        <f>IF($D495="Custom","",IFERROR(XLOOKUP($B495&amp;"|"&amp;$D495,ShiftKnowledge!$A$2:$A$9,ShiftKnowledge!$I$2:$I$9,""),IFERROR(INDEX(ShiftKnowledge!$I$2:$I$9,MATCH($B495&amp;"|"&amp;$D495,ShiftKnowledge!$A$2:$A$9,0)),"")))</f>
        <v/>
      </c>
      <c r="M495" s="4" t="inlineStr"/>
    </row>
    <row r="496" ht="20" customHeight="1">
      <c r="A496" s="6" t="inlineStr">
        <is>
          <t>20/11/2025</t>
        </is>
      </c>
      <c r="B496" s="6" t="inlineStr">
        <is>
          <t>Internal Medicine</t>
        </is>
      </c>
      <c r="C496" s="7" t="inlineStr">
        <is>
          <t>Dr. Aminath Munaza</t>
        </is>
      </c>
      <c r="D496" s="6" t="inlineStr"/>
      <c r="E496" s="6">
        <f>IF($D496="Custom","",IFERROR(XLOOKUP($B496&amp;"|"&amp;$D496,ShiftKnowledge!$A$2:$A$9,ShiftKnowledge!$D$2:$D$9,""),IFERROR(INDEX(ShiftKnowledge!$D$2:$D$9,MATCH($B496&amp;"|"&amp;$D496,ShiftKnowledge!$A$2:$A$9,0)),"")))</f>
        <v/>
      </c>
      <c r="F496" s="6" t="inlineStr"/>
      <c r="G496" s="6">
        <f>IF(AND($I496="",$L496=""),"",IFERROR(VALUE($I496),0)+IFERROR(VALUE($L496),0))</f>
        <v/>
      </c>
      <c r="H496" s="6">
        <f>IF($D496="Custom","",IFERROR(XLOOKUP($B496&amp;"|"&amp;$D496,ShiftKnowledge!$A$2:$A$9,ShiftKnowledge!$E$2:$E$9,""),IFERROR(INDEX(ShiftKnowledge!$E$2:$E$9,MATCH($B496&amp;"|"&amp;$D496,ShiftKnowledge!$A$2:$A$9,0)),"")))</f>
        <v/>
      </c>
      <c r="I496" s="6">
        <f>IF($D496="Custom","",IFERROR(XLOOKUP($B496&amp;"|"&amp;$D496,ShiftKnowledge!$A$2:$A$9,ShiftKnowledge!$F$2:$F$9,""),IFERROR(INDEX(ShiftKnowledge!$F$2:$F$9,MATCH($B496&amp;"|"&amp;$D496,ShiftKnowledge!$A$2:$A$9,0)),"")))</f>
        <v/>
      </c>
      <c r="J496" s="6">
        <f>IF($D496="Custom","",IFERROR(XLOOKUP($B496&amp;"|"&amp;$D496,ShiftKnowledge!$A$2:$A$9,ShiftKnowledge!$G$2:$G$9,""),IFERROR(INDEX(ShiftKnowledge!$G$2:$G$9,MATCH($B496&amp;"|"&amp;$D496,ShiftKnowledge!$A$2:$A$9,0)),"")))</f>
        <v/>
      </c>
      <c r="K496" s="6">
        <f>IF($D496="Custom","",IFERROR(XLOOKUP($B496&amp;"|"&amp;$D496,ShiftKnowledge!$A$2:$A$9,ShiftKnowledge!$H$2:$H$9,""),IFERROR(INDEX(ShiftKnowledge!$H$2:$H$9,MATCH($B496&amp;"|"&amp;$D496,ShiftKnowledge!$A$2:$A$9,0)),"")))</f>
        <v/>
      </c>
      <c r="L496" s="6">
        <f>IF($D496="Custom","",IFERROR(XLOOKUP($B496&amp;"|"&amp;$D496,ShiftKnowledge!$A$2:$A$9,ShiftKnowledge!$I$2:$I$9,""),IFERROR(INDEX(ShiftKnowledge!$I$2:$I$9,MATCH($B496&amp;"|"&amp;$D496,ShiftKnowledge!$A$2:$A$9,0)),"")))</f>
        <v/>
      </c>
      <c r="M496" s="6" t="inlineStr"/>
    </row>
    <row r="497" ht="20" customHeight="1">
      <c r="A497" s="4" t="inlineStr">
        <is>
          <t>20/11/2025</t>
        </is>
      </c>
      <c r="B497" s="4" t="inlineStr">
        <is>
          <t>Psychiatry</t>
        </is>
      </c>
      <c r="C497" s="5" t="inlineStr">
        <is>
          <t>Dr. Anas Mohamed Anwar Ahmed Ali</t>
        </is>
      </c>
      <c r="D497" s="4" t="inlineStr"/>
      <c r="E497" s="4">
        <f>IF($D497="Custom","",IFERROR(XLOOKUP($B497&amp;"|"&amp;$D497,ShiftKnowledge!$A$2:$A$9,ShiftKnowledge!$D$2:$D$9,""),IFERROR(INDEX(ShiftKnowledge!$D$2:$D$9,MATCH($B497&amp;"|"&amp;$D497,ShiftKnowledge!$A$2:$A$9,0)),"")))</f>
        <v/>
      </c>
      <c r="F497" s="4" t="inlineStr"/>
      <c r="G497" s="4">
        <f>IF(AND($I497="",$L497=""),"",IFERROR(VALUE($I497),0)+IFERROR(VALUE($L497),0))</f>
        <v/>
      </c>
      <c r="H497" s="4">
        <f>IF($D497="Custom","",IFERROR(XLOOKUP($B497&amp;"|"&amp;$D497,ShiftKnowledge!$A$2:$A$9,ShiftKnowledge!$E$2:$E$9,""),IFERROR(INDEX(ShiftKnowledge!$E$2:$E$9,MATCH($B497&amp;"|"&amp;$D497,ShiftKnowledge!$A$2:$A$9,0)),"")))</f>
        <v/>
      </c>
      <c r="I497" s="4">
        <f>IF($D497="Custom","",IFERROR(XLOOKUP($B497&amp;"|"&amp;$D497,ShiftKnowledge!$A$2:$A$9,ShiftKnowledge!$F$2:$F$9,""),IFERROR(INDEX(ShiftKnowledge!$F$2:$F$9,MATCH($B497&amp;"|"&amp;$D497,ShiftKnowledge!$A$2:$A$9,0)),"")))</f>
        <v/>
      </c>
      <c r="J497" s="4">
        <f>IF($D497="Custom","",IFERROR(XLOOKUP($B497&amp;"|"&amp;$D497,ShiftKnowledge!$A$2:$A$9,ShiftKnowledge!$G$2:$G$9,""),IFERROR(INDEX(ShiftKnowledge!$G$2:$G$9,MATCH($B497&amp;"|"&amp;$D497,ShiftKnowledge!$A$2:$A$9,0)),"")))</f>
        <v/>
      </c>
      <c r="K497" s="4">
        <f>IF($D497="Custom","",IFERROR(XLOOKUP($B497&amp;"|"&amp;$D497,ShiftKnowledge!$A$2:$A$9,ShiftKnowledge!$H$2:$H$9,""),IFERROR(INDEX(ShiftKnowledge!$H$2:$H$9,MATCH($B497&amp;"|"&amp;$D497,ShiftKnowledge!$A$2:$A$9,0)),"")))</f>
        <v/>
      </c>
      <c r="L497" s="4">
        <f>IF($D497="Custom","",IFERROR(XLOOKUP($B497&amp;"|"&amp;$D497,ShiftKnowledge!$A$2:$A$9,ShiftKnowledge!$I$2:$I$9,""),IFERROR(INDEX(ShiftKnowledge!$I$2:$I$9,MATCH($B497&amp;"|"&amp;$D497,ShiftKnowledge!$A$2:$A$9,0)),"")))</f>
        <v/>
      </c>
      <c r="M497" s="4" t="inlineStr"/>
    </row>
    <row r="498" ht="20" customHeight="1">
      <c r="A498" s="6" t="inlineStr">
        <is>
          <t>20/11/2025</t>
        </is>
      </c>
      <c r="B498" s="6" t="inlineStr">
        <is>
          <t>Oral Maxillo facial surgery (OMS)</t>
        </is>
      </c>
      <c r="C498" s="7" t="inlineStr">
        <is>
          <t>Dr. Arpita Singh</t>
        </is>
      </c>
      <c r="D498" s="6" t="inlineStr"/>
      <c r="E498" s="6">
        <f>IF($D498="Custom","",IFERROR(XLOOKUP($B498&amp;"|"&amp;$D498,ShiftKnowledge!$A$2:$A$9,ShiftKnowledge!$D$2:$D$9,""),IFERROR(INDEX(ShiftKnowledge!$D$2:$D$9,MATCH($B498&amp;"|"&amp;$D498,ShiftKnowledge!$A$2:$A$9,0)),"")))</f>
        <v/>
      </c>
      <c r="F498" s="6" t="inlineStr"/>
      <c r="G498" s="6">
        <f>IF(AND($I498="",$L498=""),"",IFERROR(VALUE($I498),0)+IFERROR(VALUE($L498),0))</f>
        <v/>
      </c>
      <c r="H498" s="6">
        <f>IF($D498="Custom","",IFERROR(XLOOKUP($B498&amp;"|"&amp;$D498,ShiftKnowledge!$A$2:$A$9,ShiftKnowledge!$E$2:$E$9,""),IFERROR(INDEX(ShiftKnowledge!$E$2:$E$9,MATCH($B498&amp;"|"&amp;$D498,ShiftKnowledge!$A$2:$A$9,0)),"")))</f>
        <v/>
      </c>
      <c r="I498" s="6">
        <f>IF($D498="Custom","",IFERROR(XLOOKUP($B498&amp;"|"&amp;$D498,ShiftKnowledge!$A$2:$A$9,ShiftKnowledge!$F$2:$F$9,""),IFERROR(INDEX(ShiftKnowledge!$F$2:$F$9,MATCH($B498&amp;"|"&amp;$D498,ShiftKnowledge!$A$2:$A$9,0)),"")))</f>
        <v/>
      </c>
      <c r="J498" s="6">
        <f>IF($D498="Custom","",IFERROR(XLOOKUP($B498&amp;"|"&amp;$D498,ShiftKnowledge!$A$2:$A$9,ShiftKnowledge!$G$2:$G$9,""),IFERROR(INDEX(ShiftKnowledge!$G$2:$G$9,MATCH($B498&amp;"|"&amp;$D498,ShiftKnowledge!$A$2:$A$9,0)),"")))</f>
        <v/>
      </c>
      <c r="K498" s="6">
        <f>IF($D498="Custom","",IFERROR(XLOOKUP($B498&amp;"|"&amp;$D498,ShiftKnowledge!$A$2:$A$9,ShiftKnowledge!$H$2:$H$9,""),IFERROR(INDEX(ShiftKnowledge!$H$2:$H$9,MATCH($B498&amp;"|"&amp;$D498,ShiftKnowledge!$A$2:$A$9,0)),"")))</f>
        <v/>
      </c>
      <c r="L498" s="6">
        <f>IF($D498="Custom","",IFERROR(XLOOKUP($B498&amp;"|"&amp;$D498,ShiftKnowledge!$A$2:$A$9,ShiftKnowledge!$I$2:$I$9,""),IFERROR(INDEX(ShiftKnowledge!$I$2:$I$9,MATCH($B498&amp;"|"&amp;$D498,ShiftKnowledge!$A$2:$A$9,0)),"")))</f>
        <v/>
      </c>
      <c r="M498" s="6" t="inlineStr"/>
    </row>
    <row r="499" ht="20" customHeight="1">
      <c r="A499" s="4" t="inlineStr">
        <is>
          <t>20/11/2025</t>
        </is>
      </c>
      <c r="B499" s="4" t="inlineStr">
        <is>
          <t>Orthopaedics</t>
        </is>
      </c>
      <c r="C499" s="5" t="inlineStr">
        <is>
          <t>Dr. Asish Rajak</t>
        </is>
      </c>
      <c r="D499" s="4" t="inlineStr"/>
      <c r="E499" s="4">
        <f>IF($D499="Custom","",IFERROR(XLOOKUP($B499&amp;"|"&amp;$D499,ShiftKnowledge!$A$2:$A$9,ShiftKnowledge!$D$2:$D$9,""),IFERROR(INDEX(ShiftKnowledge!$D$2:$D$9,MATCH($B499&amp;"|"&amp;$D499,ShiftKnowledge!$A$2:$A$9,0)),"")))</f>
        <v/>
      </c>
      <c r="F499" s="4" t="inlineStr"/>
      <c r="G499" s="4">
        <f>IF(AND($I499="",$L499=""),"",IFERROR(VALUE($I499),0)+IFERROR(VALUE($L499),0))</f>
        <v/>
      </c>
      <c r="H499" s="4">
        <f>IF($D499="Custom","",IFERROR(XLOOKUP($B499&amp;"|"&amp;$D499,ShiftKnowledge!$A$2:$A$9,ShiftKnowledge!$E$2:$E$9,""),IFERROR(INDEX(ShiftKnowledge!$E$2:$E$9,MATCH($B499&amp;"|"&amp;$D499,ShiftKnowledge!$A$2:$A$9,0)),"")))</f>
        <v/>
      </c>
      <c r="I499" s="4">
        <f>IF($D499="Custom","",IFERROR(XLOOKUP($B499&amp;"|"&amp;$D499,ShiftKnowledge!$A$2:$A$9,ShiftKnowledge!$F$2:$F$9,""),IFERROR(INDEX(ShiftKnowledge!$F$2:$F$9,MATCH($B499&amp;"|"&amp;$D499,ShiftKnowledge!$A$2:$A$9,0)),"")))</f>
        <v/>
      </c>
      <c r="J499" s="4">
        <f>IF($D499="Custom","",IFERROR(XLOOKUP($B499&amp;"|"&amp;$D499,ShiftKnowledge!$A$2:$A$9,ShiftKnowledge!$G$2:$G$9,""),IFERROR(INDEX(ShiftKnowledge!$G$2:$G$9,MATCH($B499&amp;"|"&amp;$D499,ShiftKnowledge!$A$2:$A$9,0)),"")))</f>
        <v/>
      </c>
      <c r="K499" s="4">
        <f>IF($D499="Custom","",IFERROR(XLOOKUP($B499&amp;"|"&amp;$D499,ShiftKnowledge!$A$2:$A$9,ShiftKnowledge!$H$2:$H$9,""),IFERROR(INDEX(ShiftKnowledge!$H$2:$H$9,MATCH($B499&amp;"|"&amp;$D499,ShiftKnowledge!$A$2:$A$9,0)),"")))</f>
        <v/>
      </c>
      <c r="L499" s="4">
        <f>IF($D499="Custom","",IFERROR(XLOOKUP($B499&amp;"|"&amp;$D499,ShiftKnowledge!$A$2:$A$9,ShiftKnowledge!$I$2:$I$9,""),IFERROR(INDEX(ShiftKnowledge!$I$2:$I$9,MATCH($B499&amp;"|"&amp;$D499,ShiftKnowledge!$A$2:$A$9,0)),"")))</f>
        <v/>
      </c>
      <c r="M499" s="4" t="inlineStr"/>
    </row>
    <row r="500" ht="20" customHeight="1">
      <c r="A500" s="6" t="inlineStr">
        <is>
          <t>20/11/2025</t>
        </is>
      </c>
      <c r="B500" s="6" t="inlineStr">
        <is>
          <t>Dermatology</t>
        </is>
      </c>
      <c r="C500" s="7" t="inlineStr">
        <is>
          <t>Dr. Aya Gamal Kotb Mohamed Elagamy</t>
        </is>
      </c>
      <c r="D500" s="6" t="inlineStr"/>
      <c r="E500" s="6">
        <f>IF($D500="Custom","",IFERROR(XLOOKUP($B500&amp;"|"&amp;$D500,ShiftKnowledge!$A$2:$A$9,ShiftKnowledge!$D$2:$D$9,""),IFERROR(INDEX(ShiftKnowledge!$D$2:$D$9,MATCH($B500&amp;"|"&amp;$D500,ShiftKnowledge!$A$2:$A$9,0)),"")))</f>
        <v/>
      </c>
      <c r="F500" s="6" t="inlineStr"/>
      <c r="G500" s="6">
        <f>IF(AND($I500="",$L500=""),"",IFERROR(VALUE($I500),0)+IFERROR(VALUE($L500),0))</f>
        <v/>
      </c>
      <c r="H500" s="6">
        <f>IF($D500="Custom","",IFERROR(XLOOKUP($B500&amp;"|"&amp;$D500,ShiftKnowledge!$A$2:$A$9,ShiftKnowledge!$E$2:$E$9,""),IFERROR(INDEX(ShiftKnowledge!$E$2:$E$9,MATCH($B500&amp;"|"&amp;$D500,ShiftKnowledge!$A$2:$A$9,0)),"")))</f>
        <v/>
      </c>
      <c r="I500" s="6">
        <f>IF($D500="Custom","",IFERROR(XLOOKUP($B500&amp;"|"&amp;$D500,ShiftKnowledge!$A$2:$A$9,ShiftKnowledge!$F$2:$F$9,""),IFERROR(INDEX(ShiftKnowledge!$F$2:$F$9,MATCH($B500&amp;"|"&amp;$D500,ShiftKnowledge!$A$2:$A$9,0)),"")))</f>
        <v/>
      </c>
      <c r="J500" s="6">
        <f>IF($D500="Custom","",IFERROR(XLOOKUP($B500&amp;"|"&amp;$D500,ShiftKnowledge!$A$2:$A$9,ShiftKnowledge!$G$2:$G$9,""),IFERROR(INDEX(ShiftKnowledge!$G$2:$G$9,MATCH($B500&amp;"|"&amp;$D500,ShiftKnowledge!$A$2:$A$9,0)),"")))</f>
        <v/>
      </c>
      <c r="K500" s="6">
        <f>IF($D500="Custom","",IFERROR(XLOOKUP($B500&amp;"|"&amp;$D500,ShiftKnowledge!$A$2:$A$9,ShiftKnowledge!$H$2:$H$9,""),IFERROR(INDEX(ShiftKnowledge!$H$2:$H$9,MATCH($B500&amp;"|"&amp;$D500,ShiftKnowledge!$A$2:$A$9,0)),"")))</f>
        <v/>
      </c>
      <c r="L500" s="6">
        <f>IF($D500="Custom","",IFERROR(XLOOKUP($B500&amp;"|"&amp;$D500,ShiftKnowledge!$A$2:$A$9,ShiftKnowledge!$I$2:$I$9,""),IFERROR(INDEX(ShiftKnowledge!$I$2:$I$9,MATCH($B500&amp;"|"&amp;$D500,ShiftKnowledge!$A$2:$A$9,0)),"")))</f>
        <v/>
      </c>
      <c r="M500" s="6" t="inlineStr"/>
    </row>
    <row r="501" ht="20" customHeight="1">
      <c r="A501" s="4" t="inlineStr">
        <is>
          <t>20/11/2025</t>
        </is>
      </c>
      <c r="B501" s="4" t="inlineStr">
        <is>
          <t>Dental</t>
        </is>
      </c>
      <c r="C501" s="5" t="inlineStr">
        <is>
          <t>Dr. Benjamin Premkumar</t>
        </is>
      </c>
      <c r="D501" s="4" t="inlineStr"/>
      <c r="E501" s="4">
        <f>IF($D501="Custom","",IFERROR(XLOOKUP($B501&amp;"|"&amp;$D501,ShiftKnowledge!$A$2:$A$9,ShiftKnowledge!$D$2:$D$9,""),IFERROR(INDEX(ShiftKnowledge!$D$2:$D$9,MATCH($B501&amp;"|"&amp;$D501,ShiftKnowledge!$A$2:$A$9,0)),"")))</f>
        <v/>
      </c>
      <c r="F501" s="4" t="inlineStr"/>
      <c r="G501" s="4">
        <f>IF(AND($I501="",$L501=""),"",IFERROR(VALUE($I501),0)+IFERROR(VALUE($L501),0))</f>
        <v/>
      </c>
      <c r="H501" s="4">
        <f>IF($D501="Custom","",IFERROR(XLOOKUP($B501&amp;"|"&amp;$D501,ShiftKnowledge!$A$2:$A$9,ShiftKnowledge!$E$2:$E$9,""),IFERROR(INDEX(ShiftKnowledge!$E$2:$E$9,MATCH($B501&amp;"|"&amp;$D501,ShiftKnowledge!$A$2:$A$9,0)),"")))</f>
        <v/>
      </c>
      <c r="I501" s="4">
        <f>IF($D501="Custom","",IFERROR(XLOOKUP($B501&amp;"|"&amp;$D501,ShiftKnowledge!$A$2:$A$9,ShiftKnowledge!$F$2:$F$9,""),IFERROR(INDEX(ShiftKnowledge!$F$2:$F$9,MATCH($B501&amp;"|"&amp;$D501,ShiftKnowledge!$A$2:$A$9,0)),"")))</f>
        <v/>
      </c>
      <c r="J501" s="4">
        <f>IF($D501="Custom","",IFERROR(XLOOKUP($B501&amp;"|"&amp;$D501,ShiftKnowledge!$A$2:$A$9,ShiftKnowledge!$G$2:$G$9,""),IFERROR(INDEX(ShiftKnowledge!$G$2:$G$9,MATCH($B501&amp;"|"&amp;$D501,ShiftKnowledge!$A$2:$A$9,0)),"")))</f>
        <v/>
      </c>
      <c r="K501" s="4">
        <f>IF($D501="Custom","",IFERROR(XLOOKUP($B501&amp;"|"&amp;$D501,ShiftKnowledge!$A$2:$A$9,ShiftKnowledge!$H$2:$H$9,""),IFERROR(INDEX(ShiftKnowledge!$H$2:$H$9,MATCH($B501&amp;"|"&amp;$D501,ShiftKnowledge!$A$2:$A$9,0)),"")))</f>
        <v/>
      </c>
      <c r="L501" s="4">
        <f>IF($D501="Custom","",IFERROR(XLOOKUP($B501&amp;"|"&amp;$D501,ShiftKnowledge!$A$2:$A$9,ShiftKnowledge!$I$2:$I$9,""),IFERROR(INDEX(ShiftKnowledge!$I$2:$I$9,MATCH($B501&amp;"|"&amp;$D501,ShiftKnowledge!$A$2:$A$9,0)),"")))</f>
        <v/>
      </c>
      <c r="M501" s="4" t="inlineStr"/>
    </row>
    <row r="502" ht="20" customHeight="1">
      <c r="A502" s="6" t="inlineStr">
        <is>
          <t>20/11/2025</t>
        </is>
      </c>
      <c r="B502" s="6" t="inlineStr">
        <is>
          <t>Internal Medicine</t>
        </is>
      </c>
      <c r="C502" s="7" t="inlineStr">
        <is>
          <t>Dr. Cho Thway Mon</t>
        </is>
      </c>
      <c r="D502" s="6" t="inlineStr"/>
      <c r="E502" s="6">
        <f>IF($D502="Custom","",IFERROR(XLOOKUP($B502&amp;"|"&amp;$D502,ShiftKnowledge!$A$2:$A$9,ShiftKnowledge!$D$2:$D$9,""),IFERROR(INDEX(ShiftKnowledge!$D$2:$D$9,MATCH($B502&amp;"|"&amp;$D502,ShiftKnowledge!$A$2:$A$9,0)),"")))</f>
        <v/>
      </c>
      <c r="F502" s="6" t="inlineStr"/>
      <c r="G502" s="6">
        <f>IF(AND($I502="",$L502=""),"",IFERROR(VALUE($I502),0)+IFERROR(VALUE($L502),0))</f>
        <v/>
      </c>
      <c r="H502" s="6">
        <f>IF($D502="Custom","",IFERROR(XLOOKUP($B502&amp;"|"&amp;$D502,ShiftKnowledge!$A$2:$A$9,ShiftKnowledge!$E$2:$E$9,""),IFERROR(INDEX(ShiftKnowledge!$E$2:$E$9,MATCH($B502&amp;"|"&amp;$D502,ShiftKnowledge!$A$2:$A$9,0)),"")))</f>
        <v/>
      </c>
      <c r="I502" s="6">
        <f>IF($D502="Custom","",IFERROR(XLOOKUP($B502&amp;"|"&amp;$D502,ShiftKnowledge!$A$2:$A$9,ShiftKnowledge!$F$2:$F$9,""),IFERROR(INDEX(ShiftKnowledge!$F$2:$F$9,MATCH($B502&amp;"|"&amp;$D502,ShiftKnowledge!$A$2:$A$9,0)),"")))</f>
        <v/>
      </c>
      <c r="J502" s="6">
        <f>IF($D502="Custom","",IFERROR(XLOOKUP($B502&amp;"|"&amp;$D502,ShiftKnowledge!$A$2:$A$9,ShiftKnowledge!$G$2:$G$9,""),IFERROR(INDEX(ShiftKnowledge!$G$2:$G$9,MATCH($B502&amp;"|"&amp;$D502,ShiftKnowledge!$A$2:$A$9,0)),"")))</f>
        <v/>
      </c>
      <c r="K502" s="6">
        <f>IF($D502="Custom","",IFERROR(XLOOKUP($B502&amp;"|"&amp;$D502,ShiftKnowledge!$A$2:$A$9,ShiftKnowledge!$H$2:$H$9,""),IFERROR(INDEX(ShiftKnowledge!$H$2:$H$9,MATCH($B502&amp;"|"&amp;$D502,ShiftKnowledge!$A$2:$A$9,0)),"")))</f>
        <v/>
      </c>
      <c r="L502" s="6">
        <f>IF($D502="Custom","",IFERROR(XLOOKUP($B502&amp;"|"&amp;$D502,ShiftKnowledge!$A$2:$A$9,ShiftKnowledge!$I$2:$I$9,""),IFERROR(INDEX(ShiftKnowledge!$I$2:$I$9,MATCH($B502&amp;"|"&amp;$D502,ShiftKnowledge!$A$2:$A$9,0)),"")))</f>
        <v/>
      </c>
      <c r="M502" s="6" t="inlineStr"/>
    </row>
    <row r="503" ht="20" customHeight="1">
      <c r="A503" s="4" t="inlineStr">
        <is>
          <t>20/11/2025</t>
        </is>
      </c>
      <c r="B503" s="4" t="inlineStr">
        <is>
          <t>Orthopaedics</t>
        </is>
      </c>
      <c r="C503" s="5" t="inlineStr">
        <is>
          <t>Dr. Dinesh Kumar Pandit</t>
        </is>
      </c>
      <c r="D503" s="4" t="inlineStr"/>
      <c r="E503" s="4">
        <f>IF($D503="Custom","",IFERROR(XLOOKUP($B503&amp;"|"&amp;$D503,ShiftKnowledge!$A$2:$A$9,ShiftKnowledge!$D$2:$D$9,""),IFERROR(INDEX(ShiftKnowledge!$D$2:$D$9,MATCH($B503&amp;"|"&amp;$D503,ShiftKnowledge!$A$2:$A$9,0)),"")))</f>
        <v/>
      </c>
      <c r="F503" s="4" t="inlineStr"/>
      <c r="G503" s="4">
        <f>IF(AND($I503="",$L503=""),"",IFERROR(VALUE($I503),0)+IFERROR(VALUE($L503),0))</f>
        <v/>
      </c>
      <c r="H503" s="4">
        <f>IF($D503="Custom","",IFERROR(XLOOKUP($B503&amp;"|"&amp;$D503,ShiftKnowledge!$A$2:$A$9,ShiftKnowledge!$E$2:$E$9,""),IFERROR(INDEX(ShiftKnowledge!$E$2:$E$9,MATCH($B503&amp;"|"&amp;$D503,ShiftKnowledge!$A$2:$A$9,0)),"")))</f>
        <v/>
      </c>
      <c r="I503" s="4">
        <f>IF($D503="Custom","",IFERROR(XLOOKUP($B503&amp;"|"&amp;$D503,ShiftKnowledge!$A$2:$A$9,ShiftKnowledge!$F$2:$F$9,""),IFERROR(INDEX(ShiftKnowledge!$F$2:$F$9,MATCH($B503&amp;"|"&amp;$D503,ShiftKnowledge!$A$2:$A$9,0)),"")))</f>
        <v/>
      </c>
      <c r="J503" s="4">
        <f>IF($D503="Custom","",IFERROR(XLOOKUP($B503&amp;"|"&amp;$D503,ShiftKnowledge!$A$2:$A$9,ShiftKnowledge!$G$2:$G$9,""),IFERROR(INDEX(ShiftKnowledge!$G$2:$G$9,MATCH($B503&amp;"|"&amp;$D503,ShiftKnowledge!$A$2:$A$9,0)),"")))</f>
        <v/>
      </c>
      <c r="K503" s="4">
        <f>IF($D503="Custom","",IFERROR(XLOOKUP($B503&amp;"|"&amp;$D503,ShiftKnowledge!$A$2:$A$9,ShiftKnowledge!$H$2:$H$9,""),IFERROR(INDEX(ShiftKnowledge!$H$2:$H$9,MATCH($B503&amp;"|"&amp;$D503,ShiftKnowledge!$A$2:$A$9,0)),"")))</f>
        <v/>
      </c>
      <c r="L503" s="4">
        <f>IF($D503="Custom","",IFERROR(XLOOKUP($B503&amp;"|"&amp;$D503,ShiftKnowledge!$A$2:$A$9,ShiftKnowledge!$I$2:$I$9,""),IFERROR(INDEX(ShiftKnowledge!$I$2:$I$9,MATCH($B503&amp;"|"&amp;$D503,ShiftKnowledge!$A$2:$A$9,0)),"")))</f>
        <v/>
      </c>
      <c r="M503" s="4" t="inlineStr"/>
    </row>
    <row r="504" ht="20" customHeight="1">
      <c r="A504" s="6" t="inlineStr">
        <is>
          <t>20/11/2025</t>
        </is>
      </c>
      <c r="B504" s="6" t="inlineStr">
        <is>
          <t>Internal Medicine</t>
        </is>
      </c>
      <c r="C504" s="7" t="inlineStr">
        <is>
          <t>Dr. Ei Shwe Yee Myint</t>
        </is>
      </c>
      <c r="D504" s="6" t="inlineStr"/>
      <c r="E504" s="6">
        <f>IF($D504="Custom","",IFERROR(XLOOKUP($B504&amp;"|"&amp;$D504,ShiftKnowledge!$A$2:$A$9,ShiftKnowledge!$D$2:$D$9,""),IFERROR(INDEX(ShiftKnowledge!$D$2:$D$9,MATCH($B504&amp;"|"&amp;$D504,ShiftKnowledge!$A$2:$A$9,0)),"")))</f>
        <v/>
      </c>
      <c r="F504" s="6" t="inlineStr"/>
      <c r="G504" s="6">
        <f>IF(AND($I504="",$L504=""),"",IFERROR(VALUE($I504),0)+IFERROR(VALUE($L504),0))</f>
        <v/>
      </c>
      <c r="H504" s="6">
        <f>IF($D504="Custom","",IFERROR(XLOOKUP($B504&amp;"|"&amp;$D504,ShiftKnowledge!$A$2:$A$9,ShiftKnowledge!$E$2:$E$9,""),IFERROR(INDEX(ShiftKnowledge!$E$2:$E$9,MATCH($B504&amp;"|"&amp;$D504,ShiftKnowledge!$A$2:$A$9,0)),"")))</f>
        <v/>
      </c>
      <c r="I504" s="6">
        <f>IF($D504="Custom","",IFERROR(XLOOKUP($B504&amp;"|"&amp;$D504,ShiftKnowledge!$A$2:$A$9,ShiftKnowledge!$F$2:$F$9,""),IFERROR(INDEX(ShiftKnowledge!$F$2:$F$9,MATCH($B504&amp;"|"&amp;$D504,ShiftKnowledge!$A$2:$A$9,0)),"")))</f>
        <v/>
      </c>
      <c r="J504" s="6">
        <f>IF($D504="Custom","",IFERROR(XLOOKUP($B504&amp;"|"&amp;$D504,ShiftKnowledge!$A$2:$A$9,ShiftKnowledge!$G$2:$G$9,""),IFERROR(INDEX(ShiftKnowledge!$G$2:$G$9,MATCH($B504&amp;"|"&amp;$D504,ShiftKnowledge!$A$2:$A$9,0)),"")))</f>
        <v/>
      </c>
      <c r="K504" s="6">
        <f>IF($D504="Custom","",IFERROR(XLOOKUP($B504&amp;"|"&amp;$D504,ShiftKnowledge!$A$2:$A$9,ShiftKnowledge!$H$2:$H$9,""),IFERROR(INDEX(ShiftKnowledge!$H$2:$H$9,MATCH($B504&amp;"|"&amp;$D504,ShiftKnowledge!$A$2:$A$9,0)),"")))</f>
        <v/>
      </c>
      <c r="L504" s="6">
        <f>IF($D504="Custom","",IFERROR(XLOOKUP($B504&amp;"|"&amp;$D504,ShiftKnowledge!$A$2:$A$9,ShiftKnowledge!$I$2:$I$9,""),IFERROR(INDEX(ShiftKnowledge!$I$2:$I$9,MATCH($B504&amp;"|"&amp;$D504,ShiftKnowledge!$A$2:$A$9,0)),"")))</f>
        <v/>
      </c>
      <c r="M504" s="6" t="inlineStr"/>
    </row>
    <row r="505" ht="20" customHeight="1">
      <c r="A505" s="4" t="inlineStr">
        <is>
          <t>20/11/2025</t>
        </is>
      </c>
      <c r="B505" s="4" t="inlineStr">
        <is>
          <t>Internal Medicine</t>
        </is>
      </c>
      <c r="C505" s="5" t="inlineStr">
        <is>
          <t>Dr. Hatem Hassan Mohamed Abdelhafez</t>
        </is>
      </c>
      <c r="D505" s="4" t="inlineStr"/>
      <c r="E505" s="4">
        <f>IF($D505="Custom","",IFERROR(XLOOKUP($B505&amp;"|"&amp;$D505,ShiftKnowledge!$A$2:$A$9,ShiftKnowledge!$D$2:$D$9,""),IFERROR(INDEX(ShiftKnowledge!$D$2:$D$9,MATCH($B505&amp;"|"&amp;$D505,ShiftKnowledge!$A$2:$A$9,0)),"")))</f>
        <v/>
      </c>
      <c r="F505" s="4" t="inlineStr"/>
      <c r="G505" s="4">
        <f>IF(AND($I505="",$L505=""),"",IFERROR(VALUE($I505),0)+IFERROR(VALUE($L505),0))</f>
        <v/>
      </c>
      <c r="H505" s="4">
        <f>IF($D505="Custom","",IFERROR(XLOOKUP($B505&amp;"|"&amp;$D505,ShiftKnowledge!$A$2:$A$9,ShiftKnowledge!$E$2:$E$9,""),IFERROR(INDEX(ShiftKnowledge!$E$2:$E$9,MATCH($B505&amp;"|"&amp;$D505,ShiftKnowledge!$A$2:$A$9,0)),"")))</f>
        <v/>
      </c>
      <c r="I505" s="4">
        <f>IF($D505="Custom","",IFERROR(XLOOKUP($B505&amp;"|"&amp;$D505,ShiftKnowledge!$A$2:$A$9,ShiftKnowledge!$F$2:$F$9,""),IFERROR(INDEX(ShiftKnowledge!$F$2:$F$9,MATCH($B505&amp;"|"&amp;$D505,ShiftKnowledge!$A$2:$A$9,0)),"")))</f>
        <v/>
      </c>
      <c r="J505" s="4">
        <f>IF($D505="Custom","",IFERROR(XLOOKUP($B505&amp;"|"&amp;$D505,ShiftKnowledge!$A$2:$A$9,ShiftKnowledge!$G$2:$G$9,""),IFERROR(INDEX(ShiftKnowledge!$G$2:$G$9,MATCH($B505&amp;"|"&amp;$D505,ShiftKnowledge!$A$2:$A$9,0)),"")))</f>
        <v/>
      </c>
      <c r="K505" s="4">
        <f>IF($D505="Custom","",IFERROR(XLOOKUP($B505&amp;"|"&amp;$D505,ShiftKnowledge!$A$2:$A$9,ShiftKnowledge!$H$2:$H$9,""),IFERROR(INDEX(ShiftKnowledge!$H$2:$H$9,MATCH($B505&amp;"|"&amp;$D505,ShiftKnowledge!$A$2:$A$9,0)),"")))</f>
        <v/>
      </c>
      <c r="L505" s="4">
        <f>IF($D505="Custom","",IFERROR(XLOOKUP($B505&amp;"|"&amp;$D505,ShiftKnowledge!$A$2:$A$9,ShiftKnowledge!$I$2:$I$9,""),IFERROR(INDEX(ShiftKnowledge!$I$2:$I$9,MATCH($B505&amp;"|"&amp;$D505,ShiftKnowledge!$A$2:$A$9,0)),"")))</f>
        <v/>
      </c>
      <c r="M505" s="4" t="inlineStr"/>
    </row>
    <row r="506" ht="20" customHeight="1">
      <c r="A506" s="6" t="inlineStr">
        <is>
          <t>20/11/2025</t>
        </is>
      </c>
      <c r="B506" s="6" t="inlineStr">
        <is>
          <t>Gynaecology</t>
        </is>
      </c>
      <c r="C506" s="7" t="inlineStr">
        <is>
          <t>Dr. Hawwa Inaya</t>
        </is>
      </c>
      <c r="D506" s="6" t="inlineStr"/>
      <c r="E506" s="6">
        <f>IF($D506="Custom","",IFERROR(XLOOKUP($B506&amp;"|"&amp;$D506,ShiftKnowledge!$A$2:$A$9,ShiftKnowledge!$D$2:$D$9,""),IFERROR(INDEX(ShiftKnowledge!$D$2:$D$9,MATCH($B506&amp;"|"&amp;$D506,ShiftKnowledge!$A$2:$A$9,0)),"")))</f>
        <v/>
      </c>
      <c r="F506" s="6" t="inlineStr"/>
      <c r="G506" s="6">
        <f>IF(AND($I506="",$L506=""),"",IFERROR(VALUE($I506),0)+IFERROR(VALUE($L506),0))</f>
        <v/>
      </c>
      <c r="H506" s="6">
        <f>IF($D506="Custom","",IFERROR(XLOOKUP($B506&amp;"|"&amp;$D506,ShiftKnowledge!$A$2:$A$9,ShiftKnowledge!$E$2:$E$9,""),IFERROR(INDEX(ShiftKnowledge!$E$2:$E$9,MATCH($B506&amp;"|"&amp;$D506,ShiftKnowledge!$A$2:$A$9,0)),"")))</f>
        <v/>
      </c>
      <c r="I506" s="6">
        <f>IF($D506="Custom","",IFERROR(XLOOKUP($B506&amp;"|"&amp;$D506,ShiftKnowledge!$A$2:$A$9,ShiftKnowledge!$F$2:$F$9,""),IFERROR(INDEX(ShiftKnowledge!$F$2:$F$9,MATCH($B506&amp;"|"&amp;$D506,ShiftKnowledge!$A$2:$A$9,0)),"")))</f>
        <v/>
      </c>
      <c r="J506" s="6">
        <f>IF($D506="Custom","",IFERROR(XLOOKUP($B506&amp;"|"&amp;$D506,ShiftKnowledge!$A$2:$A$9,ShiftKnowledge!$G$2:$G$9,""),IFERROR(INDEX(ShiftKnowledge!$G$2:$G$9,MATCH($B506&amp;"|"&amp;$D506,ShiftKnowledge!$A$2:$A$9,0)),"")))</f>
        <v/>
      </c>
      <c r="K506" s="6">
        <f>IF($D506="Custom","",IFERROR(XLOOKUP($B506&amp;"|"&amp;$D506,ShiftKnowledge!$A$2:$A$9,ShiftKnowledge!$H$2:$H$9,""),IFERROR(INDEX(ShiftKnowledge!$H$2:$H$9,MATCH($B506&amp;"|"&amp;$D506,ShiftKnowledge!$A$2:$A$9,0)),"")))</f>
        <v/>
      </c>
      <c r="L506" s="6">
        <f>IF($D506="Custom","",IFERROR(XLOOKUP($B506&amp;"|"&amp;$D506,ShiftKnowledge!$A$2:$A$9,ShiftKnowledge!$I$2:$I$9,""),IFERROR(INDEX(ShiftKnowledge!$I$2:$I$9,MATCH($B506&amp;"|"&amp;$D506,ShiftKnowledge!$A$2:$A$9,0)),"")))</f>
        <v/>
      </c>
      <c r="M506" s="6" t="inlineStr"/>
    </row>
    <row r="507" ht="20" customHeight="1">
      <c r="A507" s="4" t="inlineStr">
        <is>
          <t>20/11/2025</t>
        </is>
      </c>
      <c r="B507" s="4" t="inlineStr">
        <is>
          <t>Gynaecology</t>
        </is>
      </c>
      <c r="C507" s="5" t="inlineStr">
        <is>
          <t>Dr. Joshila Chanu Yumnam Bhattarai</t>
        </is>
      </c>
      <c r="D507" s="4" t="inlineStr"/>
      <c r="E507" s="4">
        <f>IF($D507="Custom","",IFERROR(XLOOKUP($B507&amp;"|"&amp;$D507,ShiftKnowledge!$A$2:$A$9,ShiftKnowledge!$D$2:$D$9,""),IFERROR(INDEX(ShiftKnowledge!$D$2:$D$9,MATCH($B507&amp;"|"&amp;$D507,ShiftKnowledge!$A$2:$A$9,0)),"")))</f>
        <v/>
      </c>
      <c r="F507" s="4" t="inlineStr"/>
      <c r="G507" s="4">
        <f>IF(AND($I507="",$L507=""),"",IFERROR(VALUE($I507),0)+IFERROR(VALUE($L507),0))</f>
        <v/>
      </c>
      <c r="H507" s="4">
        <f>IF($D507="Custom","",IFERROR(XLOOKUP($B507&amp;"|"&amp;$D507,ShiftKnowledge!$A$2:$A$9,ShiftKnowledge!$E$2:$E$9,""),IFERROR(INDEX(ShiftKnowledge!$E$2:$E$9,MATCH($B507&amp;"|"&amp;$D507,ShiftKnowledge!$A$2:$A$9,0)),"")))</f>
        <v/>
      </c>
      <c r="I507" s="4">
        <f>IF($D507="Custom","",IFERROR(XLOOKUP($B507&amp;"|"&amp;$D507,ShiftKnowledge!$A$2:$A$9,ShiftKnowledge!$F$2:$F$9,""),IFERROR(INDEX(ShiftKnowledge!$F$2:$F$9,MATCH($B507&amp;"|"&amp;$D507,ShiftKnowledge!$A$2:$A$9,0)),"")))</f>
        <v/>
      </c>
      <c r="J507" s="4">
        <f>IF($D507="Custom","",IFERROR(XLOOKUP($B507&amp;"|"&amp;$D507,ShiftKnowledge!$A$2:$A$9,ShiftKnowledge!$G$2:$G$9,""),IFERROR(INDEX(ShiftKnowledge!$G$2:$G$9,MATCH($B507&amp;"|"&amp;$D507,ShiftKnowledge!$A$2:$A$9,0)),"")))</f>
        <v/>
      </c>
      <c r="K507" s="4">
        <f>IF($D507="Custom","",IFERROR(XLOOKUP($B507&amp;"|"&amp;$D507,ShiftKnowledge!$A$2:$A$9,ShiftKnowledge!$H$2:$H$9,""),IFERROR(INDEX(ShiftKnowledge!$H$2:$H$9,MATCH($B507&amp;"|"&amp;$D507,ShiftKnowledge!$A$2:$A$9,0)),"")))</f>
        <v/>
      </c>
      <c r="L507" s="4">
        <f>IF($D507="Custom","",IFERROR(XLOOKUP($B507&amp;"|"&amp;$D507,ShiftKnowledge!$A$2:$A$9,ShiftKnowledge!$I$2:$I$9,""),IFERROR(INDEX(ShiftKnowledge!$I$2:$I$9,MATCH($B507&amp;"|"&amp;$D507,ShiftKnowledge!$A$2:$A$9,0)),"")))</f>
        <v/>
      </c>
      <c r="M507" s="4" t="inlineStr"/>
    </row>
    <row r="508" ht="20" customHeight="1">
      <c r="A508" s="6" t="inlineStr">
        <is>
          <t>20/11/2025</t>
        </is>
      </c>
      <c r="B508" s="6" t="inlineStr">
        <is>
          <t>Gynaecology</t>
        </is>
      </c>
      <c r="C508" s="7" t="inlineStr">
        <is>
          <t>Dr. Jumailath Beygum</t>
        </is>
      </c>
      <c r="D508" s="6" t="inlineStr"/>
      <c r="E508" s="6">
        <f>IF($D508="Custom","",IFERROR(XLOOKUP($B508&amp;"|"&amp;$D508,ShiftKnowledge!$A$2:$A$9,ShiftKnowledge!$D$2:$D$9,""),IFERROR(INDEX(ShiftKnowledge!$D$2:$D$9,MATCH($B508&amp;"|"&amp;$D508,ShiftKnowledge!$A$2:$A$9,0)),"")))</f>
        <v/>
      </c>
      <c r="F508" s="6" t="inlineStr"/>
      <c r="G508" s="6">
        <f>IF(AND($I508="",$L508=""),"",IFERROR(VALUE($I508),0)+IFERROR(VALUE($L508),0))</f>
        <v/>
      </c>
      <c r="H508" s="6">
        <f>IF($D508="Custom","",IFERROR(XLOOKUP($B508&amp;"|"&amp;$D508,ShiftKnowledge!$A$2:$A$9,ShiftKnowledge!$E$2:$E$9,""),IFERROR(INDEX(ShiftKnowledge!$E$2:$E$9,MATCH($B508&amp;"|"&amp;$D508,ShiftKnowledge!$A$2:$A$9,0)),"")))</f>
        <v/>
      </c>
      <c r="I508" s="6">
        <f>IF($D508="Custom","",IFERROR(XLOOKUP($B508&amp;"|"&amp;$D508,ShiftKnowledge!$A$2:$A$9,ShiftKnowledge!$F$2:$F$9,""),IFERROR(INDEX(ShiftKnowledge!$F$2:$F$9,MATCH($B508&amp;"|"&amp;$D508,ShiftKnowledge!$A$2:$A$9,0)),"")))</f>
        <v/>
      </c>
      <c r="J508" s="6">
        <f>IF($D508="Custom","",IFERROR(XLOOKUP($B508&amp;"|"&amp;$D508,ShiftKnowledge!$A$2:$A$9,ShiftKnowledge!$G$2:$G$9,""),IFERROR(INDEX(ShiftKnowledge!$G$2:$G$9,MATCH($B508&amp;"|"&amp;$D508,ShiftKnowledge!$A$2:$A$9,0)),"")))</f>
        <v/>
      </c>
      <c r="K508" s="6">
        <f>IF($D508="Custom","",IFERROR(XLOOKUP($B508&amp;"|"&amp;$D508,ShiftKnowledge!$A$2:$A$9,ShiftKnowledge!$H$2:$H$9,""),IFERROR(INDEX(ShiftKnowledge!$H$2:$H$9,MATCH($B508&amp;"|"&amp;$D508,ShiftKnowledge!$A$2:$A$9,0)),"")))</f>
        <v/>
      </c>
      <c r="L508" s="6">
        <f>IF($D508="Custom","",IFERROR(XLOOKUP($B508&amp;"|"&amp;$D508,ShiftKnowledge!$A$2:$A$9,ShiftKnowledge!$I$2:$I$9,""),IFERROR(INDEX(ShiftKnowledge!$I$2:$I$9,MATCH($B508&amp;"|"&amp;$D508,ShiftKnowledge!$A$2:$A$9,0)),"")))</f>
        <v/>
      </c>
      <c r="M508" s="6" t="inlineStr"/>
    </row>
    <row r="509" ht="20" customHeight="1">
      <c r="A509" s="4" t="inlineStr">
        <is>
          <t>20/11/2025</t>
        </is>
      </c>
      <c r="B509" s="4" t="inlineStr">
        <is>
          <t>General Surgery</t>
        </is>
      </c>
      <c r="C509" s="5" t="inlineStr">
        <is>
          <t>Dr. Khine Su Kyi</t>
        </is>
      </c>
      <c r="D509" s="4" t="inlineStr"/>
      <c r="E509" s="4">
        <f>IF($D509="Custom","",IFERROR(XLOOKUP($B509&amp;"|"&amp;$D509,ShiftKnowledge!$A$2:$A$9,ShiftKnowledge!$D$2:$D$9,""),IFERROR(INDEX(ShiftKnowledge!$D$2:$D$9,MATCH($B509&amp;"|"&amp;$D509,ShiftKnowledge!$A$2:$A$9,0)),"")))</f>
        <v/>
      </c>
      <c r="F509" s="4" t="inlineStr"/>
      <c r="G509" s="4">
        <f>IF(AND($I509="",$L509=""),"",IFERROR(VALUE($I509),0)+IFERROR(VALUE($L509),0))</f>
        <v/>
      </c>
      <c r="H509" s="4">
        <f>IF($D509="Custom","",IFERROR(XLOOKUP($B509&amp;"|"&amp;$D509,ShiftKnowledge!$A$2:$A$9,ShiftKnowledge!$E$2:$E$9,""),IFERROR(INDEX(ShiftKnowledge!$E$2:$E$9,MATCH($B509&amp;"|"&amp;$D509,ShiftKnowledge!$A$2:$A$9,0)),"")))</f>
        <v/>
      </c>
      <c r="I509" s="4">
        <f>IF($D509="Custom","",IFERROR(XLOOKUP($B509&amp;"|"&amp;$D509,ShiftKnowledge!$A$2:$A$9,ShiftKnowledge!$F$2:$F$9,""),IFERROR(INDEX(ShiftKnowledge!$F$2:$F$9,MATCH($B509&amp;"|"&amp;$D509,ShiftKnowledge!$A$2:$A$9,0)),"")))</f>
        <v/>
      </c>
      <c r="J509" s="4">
        <f>IF($D509="Custom","",IFERROR(XLOOKUP($B509&amp;"|"&amp;$D509,ShiftKnowledge!$A$2:$A$9,ShiftKnowledge!$G$2:$G$9,""),IFERROR(INDEX(ShiftKnowledge!$G$2:$G$9,MATCH($B509&amp;"|"&amp;$D509,ShiftKnowledge!$A$2:$A$9,0)),"")))</f>
        <v/>
      </c>
      <c r="K509" s="4">
        <f>IF($D509="Custom","",IFERROR(XLOOKUP($B509&amp;"|"&amp;$D509,ShiftKnowledge!$A$2:$A$9,ShiftKnowledge!$H$2:$H$9,""),IFERROR(INDEX(ShiftKnowledge!$H$2:$H$9,MATCH($B509&amp;"|"&amp;$D509,ShiftKnowledge!$A$2:$A$9,0)),"")))</f>
        <v/>
      </c>
      <c r="L509" s="4">
        <f>IF($D509="Custom","",IFERROR(XLOOKUP($B509&amp;"|"&amp;$D509,ShiftKnowledge!$A$2:$A$9,ShiftKnowledge!$I$2:$I$9,""),IFERROR(INDEX(ShiftKnowledge!$I$2:$I$9,MATCH($B509&amp;"|"&amp;$D509,ShiftKnowledge!$A$2:$A$9,0)),"")))</f>
        <v/>
      </c>
      <c r="M509" s="4" t="inlineStr"/>
    </row>
    <row r="510" ht="20" customHeight="1">
      <c r="A510" s="6" t="inlineStr">
        <is>
          <t>20/11/2025</t>
        </is>
      </c>
      <c r="B510" s="6" t="inlineStr">
        <is>
          <t>Dental</t>
        </is>
      </c>
      <c r="C510" s="7" t="inlineStr">
        <is>
          <t>Dr. Mariyam Afza Zuhair</t>
        </is>
      </c>
      <c r="D510" s="6" t="inlineStr"/>
      <c r="E510" s="6">
        <f>IF($D510="Custom","",IFERROR(XLOOKUP($B510&amp;"|"&amp;$D510,ShiftKnowledge!$A$2:$A$9,ShiftKnowledge!$D$2:$D$9,""),IFERROR(INDEX(ShiftKnowledge!$D$2:$D$9,MATCH($B510&amp;"|"&amp;$D510,ShiftKnowledge!$A$2:$A$9,0)),"")))</f>
        <v/>
      </c>
      <c r="F510" s="6" t="inlineStr"/>
      <c r="G510" s="6">
        <f>IF(AND($I510="",$L510=""),"",IFERROR(VALUE($I510),0)+IFERROR(VALUE($L510),0))</f>
        <v/>
      </c>
      <c r="H510" s="6">
        <f>IF($D510="Custom","",IFERROR(XLOOKUP($B510&amp;"|"&amp;$D510,ShiftKnowledge!$A$2:$A$9,ShiftKnowledge!$E$2:$E$9,""),IFERROR(INDEX(ShiftKnowledge!$E$2:$E$9,MATCH($B510&amp;"|"&amp;$D510,ShiftKnowledge!$A$2:$A$9,0)),"")))</f>
        <v/>
      </c>
      <c r="I510" s="6">
        <f>IF($D510="Custom","",IFERROR(XLOOKUP($B510&amp;"|"&amp;$D510,ShiftKnowledge!$A$2:$A$9,ShiftKnowledge!$F$2:$F$9,""),IFERROR(INDEX(ShiftKnowledge!$F$2:$F$9,MATCH($B510&amp;"|"&amp;$D510,ShiftKnowledge!$A$2:$A$9,0)),"")))</f>
        <v/>
      </c>
      <c r="J510" s="6">
        <f>IF($D510="Custom","",IFERROR(XLOOKUP($B510&amp;"|"&amp;$D510,ShiftKnowledge!$A$2:$A$9,ShiftKnowledge!$G$2:$G$9,""),IFERROR(INDEX(ShiftKnowledge!$G$2:$G$9,MATCH($B510&amp;"|"&amp;$D510,ShiftKnowledge!$A$2:$A$9,0)),"")))</f>
        <v/>
      </c>
      <c r="K510" s="6">
        <f>IF($D510="Custom","",IFERROR(XLOOKUP($B510&amp;"|"&amp;$D510,ShiftKnowledge!$A$2:$A$9,ShiftKnowledge!$H$2:$H$9,""),IFERROR(INDEX(ShiftKnowledge!$H$2:$H$9,MATCH($B510&amp;"|"&amp;$D510,ShiftKnowledge!$A$2:$A$9,0)),"")))</f>
        <v/>
      </c>
      <c r="L510" s="6">
        <f>IF($D510="Custom","",IFERROR(XLOOKUP($B510&amp;"|"&amp;$D510,ShiftKnowledge!$A$2:$A$9,ShiftKnowledge!$I$2:$I$9,""),IFERROR(INDEX(ShiftKnowledge!$I$2:$I$9,MATCH($B510&amp;"|"&amp;$D510,ShiftKnowledge!$A$2:$A$9,0)),"")))</f>
        <v/>
      </c>
      <c r="M510" s="6" t="inlineStr"/>
    </row>
    <row r="511" ht="20" customHeight="1">
      <c r="A511" s="4" t="inlineStr">
        <is>
          <t>20/11/2025</t>
        </is>
      </c>
      <c r="B511" s="4" t="inlineStr">
        <is>
          <t>Psychiatry</t>
        </is>
      </c>
      <c r="C511" s="5" t="inlineStr">
        <is>
          <t>Dr. Maumoon Shareef</t>
        </is>
      </c>
      <c r="D511" s="4" t="inlineStr"/>
      <c r="E511" s="4">
        <f>IF($D511="Custom","",IFERROR(XLOOKUP($B511&amp;"|"&amp;$D511,ShiftKnowledge!$A$2:$A$9,ShiftKnowledge!$D$2:$D$9,""),IFERROR(INDEX(ShiftKnowledge!$D$2:$D$9,MATCH($B511&amp;"|"&amp;$D511,ShiftKnowledge!$A$2:$A$9,0)),"")))</f>
        <v/>
      </c>
      <c r="F511" s="4" t="inlineStr"/>
      <c r="G511" s="4">
        <f>IF(AND($I511="",$L511=""),"",IFERROR(VALUE($I511),0)+IFERROR(VALUE($L511),0))</f>
        <v/>
      </c>
      <c r="H511" s="4">
        <f>IF($D511="Custom","",IFERROR(XLOOKUP($B511&amp;"|"&amp;$D511,ShiftKnowledge!$A$2:$A$9,ShiftKnowledge!$E$2:$E$9,""),IFERROR(INDEX(ShiftKnowledge!$E$2:$E$9,MATCH($B511&amp;"|"&amp;$D511,ShiftKnowledge!$A$2:$A$9,0)),"")))</f>
        <v/>
      </c>
      <c r="I511" s="4">
        <f>IF($D511="Custom","",IFERROR(XLOOKUP($B511&amp;"|"&amp;$D511,ShiftKnowledge!$A$2:$A$9,ShiftKnowledge!$F$2:$F$9,""),IFERROR(INDEX(ShiftKnowledge!$F$2:$F$9,MATCH($B511&amp;"|"&amp;$D511,ShiftKnowledge!$A$2:$A$9,0)),"")))</f>
        <v/>
      </c>
      <c r="J511" s="4">
        <f>IF($D511="Custom","",IFERROR(XLOOKUP($B511&amp;"|"&amp;$D511,ShiftKnowledge!$A$2:$A$9,ShiftKnowledge!$G$2:$G$9,""),IFERROR(INDEX(ShiftKnowledge!$G$2:$G$9,MATCH($B511&amp;"|"&amp;$D511,ShiftKnowledge!$A$2:$A$9,0)),"")))</f>
        <v/>
      </c>
      <c r="K511" s="4">
        <f>IF($D511="Custom","",IFERROR(XLOOKUP($B511&amp;"|"&amp;$D511,ShiftKnowledge!$A$2:$A$9,ShiftKnowledge!$H$2:$H$9,""),IFERROR(INDEX(ShiftKnowledge!$H$2:$H$9,MATCH($B511&amp;"|"&amp;$D511,ShiftKnowledge!$A$2:$A$9,0)),"")))</f>
        <v/>
      </c>
      <c r="L511" s="4">
        <f>IF($D511="Custom","",IFERROR(XLOOKUP($B511&amp;"|"&amp;$D511,ShiftKnowledge!$A$2:$A$9,ShiftKnowledge!$I$2:$I$9,""),IFERROR(INDEX(ShiftKnowledge!$I$2:$I$9,MATCH($B511&amp;"|"&amp;$D511,ShiftKnowledge!$A$2:$A$9,0)),"")))</f>
        <v/>
      </c>
      <c r="M511" s="4" t="inlineStr"/>
    </row>
    <row r="512" ht="20" customHeight="1">
      <c r="A512" s="6" t="inlineStr">
        <is>
          <t>20/11/2025</t>
        </is>
      </c>
      <c r="B512" s="6" t="inlineStr">
        <is>
          <t>Internal Medicine</t>
        </is>
      </c>
      <c r="C512" s="7" t="inlineStr">
        <is>
          <t>Dr. Mihuna Ibrahim</t>
        </is>
      </c>
      <c r="D512" s="6" t="inlineStr"/>
      <c r="E512" s="6">
        <f>IF($D512="Custom","",IFERROR(XLOOKUP($B512&amp;"|"&amp;$D512,ShiftKnowledge!$A$2:$A$9,ShiftKnowledge!$D$2:$D$9,""),IFERROR(INDEX(ShiftKnowledge!$D$2:$D$9,MATCH($B512&amp;"|"&amp;$D512,ShiftKnowledge!$A$2:$A$9,0)),"")))</f>
        <v/>
      </c>
      <c r="F512" s="6" t="inlineStr"/>
      <c r="G512" s="6">
        <f>IF(AND($I512="",$L512=""),"",IFERROR(VALUE($I512),0)+IFERROR(VALUE($L512),0))</f>
        <v/>
      </c>
      <c r="H512" s="6">
        <f>IF($D512="Custom","",IFERROR(XLOOKUP($B512&amp;"|"&amp;$D512,ShiftKnowledge!$A$2:$A$9,ShiftKnowledge!$E$2:$E$9,""),IFERROR(INDEX(ShiftKnowledge!$E$2:$E$9,MATCH($B512&amp;"|"&amp;$D512,ShiftKnowledge!$A$2:$A$9,0)),"")))</f>
        <v/>
      </c>
      <c r="I512" s="6">
        <f>IF($D512="Custom","",IFERROR(XLOOKUP($B512&amp;"|"&amp;$D512,ShiftKnowledge!$A$2:$A$9,ShiftKnowledge!$F$2:$F$9,""),IFERROR(INDEX(ShiftKnowledge!$F$2:$F$9,MATCH($B512&amp;"|"&amp;$D512,ShiftKnowledge!$A$2:$A$9,0)),"")))</f>
        <v/>
      </c>
      <c r="J512" s="6">
        <f>IF($D512="Custom","",IFERROR(XLOOKUP($B512&amp;"|"&amp;$D512,ShiftKnowledge!$A$2:$A$9,ShiftKnowledge!$G$2:$G$9,""),IFERROR(INDEX(ShiftKnowledge!$G$2:$G$9,MATCH($B512&amp;"|"&amp;$D512,ShiftKnowledge!$A$2:$A$9,0)),"")))</f>
        <v/>
      </c>
      <c r="K512" s="6">
        <f>IF($D512="Custom","",IFERROR(XLOOKUP($B512&amp;"|"&amp;$D512,ShiftKnowledge!$A$2:$A$9,ShiftKnowledge!$H$2:$H$9,""),IFERROR(INDEX(ShiftKnowledge!$H$2:$H$9,MATCH($B512&amp;"|"&amp;$D512,ShiftKnowledge!$A$2:$A$9,0)),"")))</f>
        <v/>
      </c>
      <c r="L512" s="6">
        <f>IF($D512="Custom","",IFERROR(XLOOKUP($B512&amp;"|"&amp;$D512,ShiftKnowledge!$A$2:$A$9,ShiftKnowledge!$I$2:$I$9,""),IFERROR(INDEX(ShiftKnowledge!$I$2:$I$9,MATCH($B512&amp;"|"&amp;$D512,ShiftKnowledge!$A$2:$A$9,0)),"")))</f>
        <v/>
      </c>
      <c r="M512" s="6" t="inlineStr"/>
    </row>
    <row r="513" ht="20" customHeight="1">
      <c r="A513" s="4" t="inlineStr">
        <is>
          <t>20/11/2025</t>
        </is>
      </c>
      <c r="B513" s="4" t="inlineStr">
        <is>
          <t>Endocrinology</t>
        </is>
      </c>
      <c r="C513" s="5" t="inlineStr">
        <is>
          <t>Dr. Mohamed Wisham</t>
        </is>
      </c>
      <c r="D513" s="4" t="inlineStr"/>
      <c r="E513" s="4">
        <f>IF($D513="Custom","",IFERROR(XLOOKUP($B513&amp;"|"&amp;$D513,ShiftKnowledge!$A$2:$A$9,ShiftKnowledge!$D$2:$D$9,""),IFERROR(INDEX(ShiftKnowledge!$D$2:$D$9,MATCH($B513&amp;"|"&amp;$D513,ShiftKnowledge!$A$2:$A$9,0)),"")))</f>
        <v/>
      </c>
      <c r="F513" s="4" t="inlineStr"/>
      <c r="G513" s="4">
        <f>IF(AND($I513="",$L513=""),"",IFERROR(VALUE($I513),0)+IFERROR(VALUE($L513),0))</f>
        <v/>
      </c>
      <c r="H513" s="4">
        <f>IF($D513="Custom","",IFERROR(XLOOKUP($B513&amp;"|"&amp;$D513,ShiftKnowledge!$A$2:$A$9,ShiftKnowledge!$E$2:$E$9,""),IFERROR(INDEX(ShiftKnowledge!$E$2:$E$9,MATCH($B513&amp;"|"&amp;$D513,ShiftKnowledge!$A$2:$A$9,0)),"")))</f>
        <v/>
      </c>
      <c r="I513" s="4">
        <f>IF($D513="Custom","",IFERROR(XLOOKUP($B513&amp;"|"&amp;$D513,ShiftKnowledge!$A$2:$A$9,ShiftKnowledge!$F$2:$F$9,""),IFERROR(INDEX(ShiftKnowledge!$F$2:$F$9,MATCH($B513&amp;"|"&amp;$D513,ShiftKnowledge!$A$2:$A$9,0)),"")))</f>
        <v/>
      </c>
      <c r="J513" s="4">
        <f>IF($D513="Custom","",IFERROR(XLOOKUP($B513&amp;"|"&amp;$D513,ShiftKnowledge!$A$2:$A$9,ShiftKnowledge!$G$2:$G$9,""),IFERROR(INDEX(ShiftKnowledge!$G$2:$G$9,MATCH($B513&amp;"|"&amp;$D513,ShiftKnowledge!$A$2:$A$9,0)),"")))</f>
        <v/>
      </c>
      <c r="K513" s="4">
        <f>IF($D513="Custom","",IFERROR(XLOOKUP($B513&amp;"|"&amp;$D513,ShiftKnowledge!$A$2:$A$9,ShiftKnowledge!$H$2:$H$9,""),IFERROR(INDEX(ShiftKnowledge!$H$2:$H$9,MATCH($B513&amp;"|"&amp;$D513,ShiftKnowledge!$A$2:$A$9,0)),"")))</f>
        <v/>
      </c>
      <c r="L513" s="4">
        <f>IF($D513="Custom","",IFERROR(XLOOKUP($B513&amp;"|"&amp;$D513,ShiftKnowledge!$A$2:$A$9,ShiftKnowledge!$I$2:$I$9,""),IFERROR(INDEX(ShiftKnowledge!$I$2:$I$9,MATCH($B513&amp;"|"&amp;$D513,ShiftKnowledge!$A$2:$A$9,0)),"")))</f>
        <v/>
      </c>
      <c r="M513" s="4" t="inlineStr"/>
    </row>
    <row r="514" ht="20" customHeight="1">
      <c r="A514" s="6" t="inlineStr">
        <is>
          <t>20/11/2025</t>
        </is>
      </c>
      <c r="B514" s="6" t="inlineStr">
        <is>
          <t>Cardiology</t>
        </is>
      </c>
      <c r="C514" s="7" t="inlineStr">
        <is>
          <t>Dr. Moosa Manik</t>
        </is>
      </c>
      <c r="D514" s="6" t="inlineStr"/>
      <c r="E514" s="6">
        <f>IF($D514="Custom","",IFERROR(XLOOKUP($B514&amp;"|"&amp;$D514,ShiftKnowledge!$A$2:$A$9,ShiftKnowledge!$D$2:$D$9,""),IFERROR(INDEX(ShiftKnowledge!$D$2:$D$9,MATCH($B514&amp;"|"&amp;$D514,ShiftKnowledge!$A$2:$A$9,0)),"")))</f>
        <v/>
      </c>
      <c r="F514" s="6" t="inlineStr"/>
      <c r="G514" s="6">
        <f>IF(AND($I514="",$L514=""),"",IFERROR(VALUE($I514),0)+IFERROR(VALUE($L514),0))</f>
        <v/>
      </c>
      <c r="H514" s="6">
        <f>IF($D514="Custom","",IFERROR(XLOOKUP($B514&amp;"|"&amp;$D514,ShiftKnowledge!$A$2:$A$9,ShiftKnowledge!$E$2:$E$9,""),IFERROR(INDEX(ShiftKnowledge!$E$2:$E$9,MATCH($B514&amp;"|"&amp;$D514,ShiftKnowledge!$A$2:$A$9,0)),"")))</f>
        <v/>
      </c>
      <c r="I514" s="6">
        <f>IF($D514="Custom","",IFERROR(XLOOKUP($B514&amp;"|"&amp;$D514,ShiftKnowledge!$A$2:$A$9,ShiftKnowledge!$F$2:$F$9,""),IFERROR(INDEX(ShiftKnowledge!$F$2:$F$9,MATCH($B514&amp;"|"&amp;$D514,ShiftKnowledge!$A$2:$A$9,0)),"")))</f>
        <v/>
      </c>
      <c r="J514" s="6">
        <f>IF($D514="Custom","",IFERROR(XLOOKUP($B514&amp;"|"&amp;$D514,ShiftKnowledge!$A$2:$A$9,ShiftKnowledge!$G$2:$G$9,""),IFERROR(INDEX(ShiftKnowledge!$G$2:$G$9,MATCH($B514&amp;"|"&amp;$D514,ShiftKnowledge!$A$2:$A$9,0)),"")))</f>
        <v/>
      </c>
      <c r="K514" s="6">
        <f>IF($D514="Custom","",IFERROR(XLOOKUP($B514&amp;"|"&amp;$D514,ShiftKnowledge!$A$2:$A$9,ShiftKnowledge!$H$2:$H$9,""),IFERROR(INDEX(ShiftKnowledge!$H$2:$H$9,MATCH($B514&amp;"|"&amp;$D514,ShiftKnowledge!$A$2:$A$9,0)),"")))</f>
        <v/>
      </c>
      <c r="L514" s="6">
        <f>IF($D514="Custom","",IFERROR(XLOOKUP($B514&amp;"|"&amp;$D514,ShiftKnowledge!$A$2:$A$9,ShiftKnowledge!$I$2:$I$9,""),IFERROR(INDEX(ShiftKnowledge!$I$2:$I$9,MATCH($B514&amp;"|"&amp;$D514,ShiftKnowledge!$A$2:$A$9,0)),"")))</f>
        <v/>
      </c>
      <c r="M514" s="6" t="inlineStr"/>
    </row>
    <row r="515" ht="20" customHeight="1">
      <c r="A515" s="4" t="inlineStr">
        <is>
          <t>20/11/2025</t>
        </is>
      </c>
      <c r="B515" s="4" t="inlineStr">
        <is>
          <t>Nephrology</t>
        </is>
      </c>
      <c r="C515" s="5" t="inlineStr">
        <is>
          <t>Dr. Muhammad Mujtaba Ur Rehman</t>
        </is>
      </c>
      <c r="D515" s="4" t="inlineStr"/>
      <c r="E515" s="4">
        <f>IF($D515="Custom","",IFERROR(XLOOKUP($B515&amp;"|"&amp;$D515,ShiftKnowledge!$A$2:$A$9,ShiftKnowledge!$D$2:$D$9,""),IFERROR(INDEX(ShiftKnowledge!$D$2:$D$9,MATCH($B515&amp;"|"&amp;$D515,ShiftKnowledge!$A$2:$A$9,0)),"")))</f>
        <v/>
      </c>
      <c r="F515" s="4" t="inlineStr"/>
      <c r="G515" s="4">
        <f>IF(AND($I515="",$L515=""),"",IFERROR(VALUE($I515),0)+IFERROR(VALUE($L515),0))</f>
        <v/>
      </c>
      <c r="H515" s="4">
        <f>IF($D515="Custom","",IFERROR(XLOOKUP($B515&amp;"|"&amp;$D515,ShiftKnowledge!$A$2:$A$9,ShiftKnowledge!$E$2:$E$9,""),IFERROR(INDEX(ShiftKnowledge!$E$2:$E$9,MATCH($B515&amp;"|"&amp;$D515,ShiftKnowledge!$A$2:$A$9,0)),"")))</f>
        <v/>
      </c>
      <c r="I515" s="4">
        <f>IF($D515="Custom","",IFERROR(XLOOKUP($B515&amp;"|"&amp;$D515,ShiftKnowledge!$A$2:$A$9,ShiftKnowledge!$F$2:$F$9,""),IFERROR(INDEX(ShiftKnowledge!$F$2:$F$9,MATCH($B515&amp;"|"&amp;$D515,ShiftKnowledge!$A$2:$A$9,0)),"")))</f>
        <v/>
      </c>
      <c r="J515" s="4">
        <f>IF($D515="Custom","",IFERROR(XLOOKUP($B515&amp;"|"&amp;$D515,ShiftKnowledge!$A$2:$A$9,ShiftKnowledge!$G$2:$G$9,""),IFERROR(INDEX(ShiftKnowledge!$G$2:$G$9,MATCH($B515&amp;"|"&amp;$D515,ShiftKnowledge!$A$2:$A$9,0)),"")))</f>
        <v/>
      </c>
      <c r="K515" s="4">
        <f>IF($D515="Custom","",IFERROR(XLOOKUP($B515&amp;"|"&amp;$D515,ShiftKnowledge!$A$2:$A$9,ShiftKnowledge!$H$2:$H$9,""),IFERROR(INDEX(ShiftKnowledge!$H$2:$H$9,MATCH($B515&amp;"|"&amp;$D515,ShiftKnowledge!$A$2:$A$9,0)),"")))</f>
        <v/>
      </c>
      <c r="L515" s="4">
        <f>IF($D515="Custom","",IFERROR(XLOOKUP($B515&amp;"|"&amp;$D515,ShiftKnowledge!$A$2:$A$9,ShiftKnowledge!$I$2:$I$9,""),IFERROR(INDEX(ShiftKnowledge!$I$2:$I$9,MATCH($B515&amp;"|"&amp;$D515,ShiftKnowledge!$A$2:$A$9,0)),"")))</f>
        <v/>
      </c>
      <c r="M515" s="4" t="inlineStr"/>
    </row>
    <row r="516" ht="20" customHeight="1">
      <c r="A516" s="6" t="inlineStr">
        <is>
          <t>20/11/2025</t>
        </is>
      </c>
      <c r="B516" s="6" t="inlineStr">
        <is>
          <t>Ophthalmology</t>
        </is>
      </c>
      <c r="C516" s="7" t="inlineStr">
        <is>
          <t>Dr. Nafeesa Abdul Latheef</t>
        </is>
      </c>
      <c r="D516" s="6" t="inlineStr"/>
      <c r="E516" s="6">
        <f>IF($D516="Custom","",IFERROR(XLOOKUP($B516&amp;"|"&amp;$D516,ShiftKnowledge!$A$2:$A$9,ShiftKnowledge!$D$2:$D$9,""),IFERROR(INDEX(ShiftKnowledge!$D$2:$D$9,MATCH($B516&amp;"|"&amp;$D516,ShiftKnowledge!$A$2:$A$9,0)),"")))</f>
        <v/>
      </c>
      <c r="F516" s="6" t="inlineStr"/>
      <c r="G516" s="6">
        <f>IF(AND($I516="",$L516=""),"",IFERROR(VALUE($I516),0)+IFERROR(VALUE($L516),0))</f>
        <v/>
      </c>
      <c r="H516" s="6">
        <f>IF($D516="Custom","",IFERROR(XLOOKUP($B516&amp;"|"&amp;$D516,ShiftKnowledge!$A$2:$A$9,ShiftKnowledge!$E$2:$E$9,""),IFERROR(INDEX(ShiftKnowledge!$E$2:$E$9,MATCH($B516&amp;"|"&amp;$D516,ShiftKnowledge!$A$2:$A$9,0)),"")))</f>
        <v/>
      </c>
      <c r="I516" s="6">
        <f>IF($D516="Custom","",IFERROR(XLOOKUP($B516&amp;"|"&amp;$D516,ShiftKnowledge!$A$2:$A$9,ShiftKnowledge!$F$2:$F$9,""),IFERROR(INDEX(ShiftKnowledge!$F$2:$F$9,MATCH($B516&amp;"|"&amp;$D516,ShiftKnowledge!$A$2:$A$9,0)),"")))</f>
        <v/>
      </c>
      <c r="J516" s="6">
        <f>IF($D516="Custom","",IFERROR(XLOOKUP($B516&amp;"|"&amp;$D516,ShiftKnowledge!$A$2:$A$9,ShiftKnowledge!$G$2:$G$9,""),IFERROR(INDEX(ShiftKnowledge!$G$2:$G$9,MATCH($B516&amp;"|"&amp;$D516,ShiftKnowledge!$A$2:$A$9,0)),"")))</f>
        <v/>
      </c>
      <c r="K516" s="6">
        <f>IF($D516="Custom","",IFERROR(XLOOKUP($B516&amp;"|"&amp;$D516,ShiftKnowledge!$A$2:$A$9,ShiftKnowledge!$H$2:$H$9,""),IFERROR(INDEX(ShiftKnowledge!$H$2:$H$9,MATCH($B516&amp;"|"&amp;$D516,ShiftKnowledge!$A$2:$A$9,0)),"")))</f>
        <v/>
      </c>
      <c r="L516" s="6">
        <f>IF($D516="Custom","",IFERROR(XLOOKUP($B516&amp;"|"&amp;$D516,ShiftKnowledge!$A$2:$A$9,ShiftKnowledge!$I$2:$I$9,""),IFERROR(INDEX(ShiftKnowledge!$I$2:$I$9,MATCH($B516&amp;"|"&amp;$D516,ShiftKnowledge!$A$2:$A$9,0)),"")))</f>
        <v/>
      </c>
      <c r="M516" s="6" t="inlineStr"/>
    </row>
    <row r="517" ht="20" customHeight="1">
      <c r="A517" s="4" t="inlineStr">
        <is>
          <t>20/11/2025</t>
        </is>
      </c>
      <c r="B517" s="4" t="inlineStr">
        <is>
          <t>ENT</t>
        </is>
      </c>
      <c r="C517" s="5" t="inlineStr">
        <is>
          <t>Dr. Nishesh Raj Shrestha</t>
        </is>
      </c>
      <c r="D517" s="4" t="inlineStr"/>
      <c r="E517" s="4">
        <f>IF($D517="Custom","",IFERROR(XLOOKUP($B517&amp;"|"&amp;$D517,ShiftKnowledge!$A$2:$A$9,ShiftKnowledge!$D$2:$D$9,""),IFERROR(INDEX(ShiftKnowledge!$D$2:$D$9,MATCH($B517&amp;"|"&amp;$D517,ShiftKnowledge!$A$2:$A$9,0)),"")))</f>
        <v/>
      </c>
      <c r="F517" s="4" t="inlineStr"/>
      <c r="G517" s="4">
        <f>IF(AND($I517="",$L517=""),"",IFERROR(VALUE($I517),0)+IFERROR(VALUE($L517),0))</f>
        <v/>
      </c>
      <c r="H517" s="4">
        <f>IF($D517="Custom","",IFERROR(XLOOKUP($B517&amp;"|"&amp;$D517,ShiftKnowledge!$A$2:$A$9,ShiftKnowledge!$E$2:$E$9,""),IFERROR(INDEX(ShiftKnowledge!$E$2:$E$9,MATCH($B517&amp;"|"&amp;$D517,ShiftKnowledge!$A$2:$A$9,0)),"")))</f>
        <v/>
      </c>
      <c r="I517" s="4">
        <f>IF($D517="Custom","",IFERROR(XLOOKUP($B517&amp;"|"&amp;$D517,ShiftKnowledge!$A$2:$A$9,ShiftKnowledge!$F$2:$F$9,""),IFERROR(INDEX(ShiftKnowledge!$F$2:$F$9,MATCH($B517&amp;"|"&amp;$D517,ShiftKnowledge!$A$2:$A$9,0)),"")))</f>
        <v/>
      </c>
      <c r="J517" s="4">
        <f>IF($D517="Custom","",IFERROR(XLOOKUP($B517&amp;"|"&amp;$D517,ShiftKnowledge!$A$2:$A$9,ShiftKnowledge!$G$2:$G$9,""),IFERROR(INDEX(ShiftKnowledge!$G$2:$G$9,MATCH($B517&amp;"|"&amp;$D517,ShiftKnowledge!$A$2:$A$9,0)),"")))</f>
        <v/>
      </c>
      <c r="K517" s="4">
        <f>IF($D517="Custom","",IFERROR(XLOOKUP($B517&amp;"|"&amp;$D517,ShiftKnowledge!$A$2:$A$9,ShiftKnowledge!$H$2:$H$9,""),IFERROR(INDEX(ShiftKnowledge!$H$2:$H$9,MATCH($B517&amp;"|"&amp;$D517,ShiftKnowledge!$A$2:$A$9,0)),"")))</f>
        <v/>
      </c>
      <c r="L517" s="4">
        <f>IF($D517="Custom","",IFERROR(XLOOKUP($B517&amp;"|"&amp;$D517,ShiftKnowledge!$A$2:$A$9,ShiftKnowledge!$I$2:$I$9,""),IFERROR(INDEX(ShiftKnowledge!$I$2:$I$9,MATCH($B517&amp;"|"&amp;$D517,ShiftKnowledge!$A$2:$A$9,0)),"")))</f>
        <v/>
      </c>
      <c r="M517" s="4" t="inlineStr"/>
    </row>
    <row r="518" ht="20" customHeight="1">
      <c r="A518" s="6" t="inlineStr">
        <is>
          <t>20/11/2025</t>
        </is>
      </c>
      <c r="B518" s="6" t="inlineStr">
        <is>
          <t>ENT</t>
        </is>
      </c>
      <c r="C518" s="7" t="inlineStr">
        <is>
          <t>Dr. Rachit Pokharel</t>
        </is>
      </c>
      <c r="D518" s="6" t="inlineStr"/>
      <c r="E518" s="6">
        <f>IF($D518="Custom","",IFERROR(XLOOKUP($B518&amp;"|"&amp;$D518,ShiftKnowledge!$A$2:$A$9,ShiftKnowledge!$D$2:$D$9,""),IFERROR(INDEX(ShiftKnowledge!$D$2:$D$9,MATCH($B518&amp;"|"&amp;$D518,ShiftKnowledge!$A$2:$A$9,0)),"")))</f>
        <v/>
      </c>
      <c r="F518" s="6" t="inlineStr"/>
      <c r="G518" s="6">
        <f>IF(AND($I518="",$L518=""),"",IFERROR(VALUE($I518),0)+IFERROR(VALUE($L518),0))</f>
        <v/>
      </c>
      <c r="H518" s="6">
        <f>IF($D518="Custom","",IFERROR(XLOOKUP($B518&amp;"|"&amp;$D518,ShiftKnowledge!$A$2:$A$9,ShiftKnowledge!$E$2:$E$9,""),IFERROR(INDEX(ShiftKnowledge!$E$2:$E$9,MATCH($B518&amp;"|"&amp;$D518,ShiftKnowledge!$A$2:$A$9,0)),"")))</f>
        <v/>
      </c>
      <c r="I518" s="6">
        <f>IF($D518="Custom","",IFERROR(XLOOKUP($B518&amp;"|"&amp;$D518,ShiftKnowledge!$A$2:$A$9,ShiftKnowledge!$F$2:$F$9,""),IFERROR(INDEX(ShiftKnowledge!$F$2:$F$9,MATCH($B518&amp;"|"&amp;$D518,ShiftKnowledge!$A$2:$A$9,0)),"")))</f>
        <v/>
      </c>
      <c r="J518" s="6">
        <f>IF($D518="Custom","",IFERROR(XLOOKUP($B518&amp;"|"&amp;$D518,ShiftKnowledge!$A$2:$A$9,ShiftKnowledge!$G$2:$G$9,""),IFERROR(INDEX(ShiftKnowledge!$G$2:$G$9,MATCH($B518&amp;"|"&amp;$D518,ShiftKnowledge!$A$2:$A$9,0)),"")))</f>
        <v/>
      </c>
      <c r="K518" s="6">
        <f>IF($D518="Custom","",IFERROR(XLOOKUP($B518&amp;"|"&amp;$D518,ShiftKnowledge!$A$2:$A$9,ShiftKnowledge!$H$2:$H$9,""),IFERROR(INDEX(ShiftKnowledge!$H$2:$H$9,MATCH($B518&amp;"|"&amp;$D518,ShiftKnowledge!$A$2:$A$9,0)),"")))</f>
        <v/>
      </c>
      <c r="L518" s="6">
        <f>IF($D518="Custom","",IFERROR(XLOOKUP($B518&amp;"|"&amp;$D518,ShiftKnowledge!$A$2:$A$9,ShiftKnowledge!$I$2:$I$9,""),IFERROR(INDEX(ShiftKnowledge!$I$2:$I$9,MATCH($B518&amp;"|"&amp;$D518,ShiftKnowledge!$A$2:$A$9,0)),"")))</f>
        <v/>
      </c>
      <c r="M518" s="6" t="inlineStr"/>
    </row>
    <row r="519" ht="20" customHeight="1">
      <c r="A519" s="4" t="inlineStr">
        <is>
          <t>20/11/2025</t>
        </is>
      </c>
      <c r="B519" s="4" t="inlineStr">
        <is>
          <t>Ophthalmology</t>
        </is>
      </c>
      <c r="C519" s="5" t="inlineStr">
        <is>
          <t>Dr. Remon Girgis Lamee Girgis</t>
        </is>
      </c>
      <c r="D519" s="4" t="inlineStr"/>
      <c r="E519" s="4">
        <f>IF($D519="Custom","",IFERROR(XLOOKUP($B519&amp;"|"&amp;$D519,ShiftKnowledge!$A$2:$A$9,ShiftKnowledge!$D$2:$D$9,""),IFERROR(INDEX(ShiftKnowledge!$D$2:$D$9,MATCH($B519&amp;"|"&amp;$D519,ShiftKnowledge!$A$2:$A$9,0)),"")))</f>
        <v/>
      </c>
      <c r="F519" s="4" t="inlineStr"/>
      <c r="G519" s="4">
        <f>IF(AND($I519="",$L519=""),"",IFERROR(VALUE($I519),0)+IFERROR(VALUE($L519),0))</f>
        <v/>
      </c>
      <c r="H519" s="4">
        <f>IF($D519="Custom","",IFERROR(XLOOKUP($B519&amp;"|"&amp;$D519,ShiftKnowledge!$A$2:$A$9,ShiftKnowledge!$E$2:$E$9,""),IFERROR(INDEX(ShiftKnowledge!$E$2:$E$9,MATCH($B519&amp;"|"&amp;$D519,ShiftKnowledge!$A$2:$A$9,0)),"")))</f>
        <v/>
      </c>
      <c r="I519" s="4">
        <f>IF($D519="Custom","",IFERROR(XLOOKUP($B519&amp;"|"&amp;$D519,ShiftKnowledge!$A$2:$A$9,ShiftKnowledge!$F$2:$F$9,""),IFERROR(INDEX(ShiftKnowledge!$F$2:$F$9,MATCH($B519&amp;"|"&amp;$D519,ShiftKnowledge!$A$2:$A$9,0)),"")))</f>
        <v/>
      </c>
      <c r="J519" s="4">
        <f>IF($D519="Custom","",IFERROR(XLOOKUP($B519&amp;"|"&amp;$D519,ShiftKnowledge!$A$2:$A$9,ShiftKnowledge!$G$2:$G$9,""),IFERROR(INDEX(ShiftKnowledge!$G$2:$G$9,MATCH($B519&amp;"|"&amp;$D519,ShiftKnowledge!$A$2:$A$9,0)),"")))</f>
        <v/>
      </c>
      <c r="K519" s="4">
        <f>IF($D519="Custom","",IFERROR(XLOOKUP($B519&amp;"|"&amp;$D519,ShiftKnowledge!$A$2:$A$9,ShiftKnowledge!$H$2:$H$9,""),IFERROR(INDEX(ShiftKnowledge!$H$2:$H$9,MATCH($B519&amp;"|"&amp;$D519,ShiftKnowledge!$A$2:$A$9,0)),"")))</f>
        <v/>
      </c>
      <c r="L519" s="4">
        <f>IF($D519="Custom","",IFERROR(XLOOKUP($B519&amp;"|"&amp;$D519,ShiftKnowledge!$A$2:$A$9,ShiftKnowledge!$I$2:$I$9,""),IFERROR(INDEX(ShiftKnowledge!$I$2:$I$9,MATCH($B519&amp;"|"&amp;$D519,ShiftKnowledge!$A$2:$A$9,0)),"")))</f>
        <v/>
      </c>
      <c r="M519" s="4" t="inlineStr"/>
    </row>
    <row r="520" ht="20" customHeight="1">
      <c r="A520" s="6" t="inlineStr">
        <is>
          <t>20/11/2025</t>
        </is>
      </c>
      <c r="B520" s="6" t="inlineStr">
        <is>
          <t>Paediatrics</t>
        </is>
      </c>
      <c r="C520" s="7" t="inlineStr">
        <is>
          <t>Dr. Roshan Kumar Dikshit</t>
        </is>
      </c>
      <c r="D520" s="6" t="inlineStr"/>
      <c r="E520" s="6">
        <f>IF($D520="Custom","",IFERROR(XLOOKUP($B520&amp;"|"&amp;$D520,ShiftKnowledge!$A$2:$A$9,ShiftKnowledge!$D$2:$D$9,""),IFERROR(INDEX(ShiftKnowledge!$D$2:$D$9,MATCH($B520&amp;"|"&amp;$D520,ShiftKnowledge!$A$2:$A$9,0)),"")))</f>
        <v/>
      </c>
      <c r="F520" s="6" t="inlineStr"/>
      <c r="G520" s="6">
        <f>IF(AND($I520="",$L520=""),"",IFERROR(VALUE($I520),0)+IFERROR(VALUE($L520),0))</f>
        <v/>
      </c>
      <c r="H520" s="6">
        <f>IF($D520="Custom","",IFERROR(XLOOKUP($B520&amp;"|"&amp;$D520,ShiftKnowledge!$A$2:$A$9,ShiftKnowledge!$E$2:$E$9,""),IFERROR(INDEX(ShiftKnowledge!$E$2:$E$9,MATCH($B520&amp;"|"&amp;$D520,ShiftKnowledge!$A$2:$A$9,0)),"")))</f>
        <v/>
      </c>
      <c r="I520" s="6">
        <f>IF($D520="Custom","",IFERROR(XLOOKUP($B520&amp;"|"&amp;$D520,ShiftKnowledge!$A$2:$A$9,ShiftKnowledge!$F$2:$F$9,""),IFERROR(INDEX(ShiftKnowledge!$F$2:$F$9,MATCH($B520&amp;"|"&amp;$D520,ShiftKnowledge!$A$2:$A$9,0)),"")))</f>
        <v/>
      </c>
      <c r="J520" s="6">
        <f>IF($D520="Custom","",IFERROR(XLOOKUP($B520&amp;"|"&amp;$D520,ShiftKnowledge!$A$2:$A$9,ShiftKnowledge!$G$2:$G$9,""),IFERROR(INDEX(ShiftKnowledge!$G$2:$G$9,MATCH($B520&amp;"|"&amp;$D520,ShiftKnowledge!$A$2:$A$9,0)),"")))</f>
        <v/>
      </c>
      <c r="K520" s="6">
        <f>IF($D520="Custom","",IFERROR(XLOOKUP($B520&amp;"|"&amp;$D520,ShiftKnowledge!$A$2:$A$9,ShiftKnowledge!$H$2:$H$9,""),IFERROR(INDEX(ShiftKnowledge!$H$2:$H$9,MATCH($B520&amp;"|"&amp;$D520,ShiftKnowledge!$A$2:$A$9,0)),"")))</f>
        <v/>
      </c>
      <c r="L520" s="6">
        <f>IF($D520="Custom","",IFERROR(XLOOKUP($B520&amp;"|"&amp;$D520,ShiftKnowledge!$A$2:$A$9,ShiftKnowledge!$I$2:$I$9,""),IFERROR(INDEX(ShiftKnowledge!$I$2:$I$9,MATCH($B520&amp;"|"&amp;$D520,ShiftKnowledge!$A$2:$A$9,0)),"")))</f>
        <v/>
      </c>
      <c r="M520" s="6" t="inlineStr"/>
    </row>
    <row r="521" ht="20" customHeight="1">
      <c r="A521" s="4" t="inlineStr">
        <is>
          <t>20/11/2025</t>
        </is>
      </c>
      <c r="B521" s="4" t="inlineStr">
        <is>
          <t>Ophthalmology</t>
        </is>
      </c>
      <c r="C521" s="5" t="inlineStr">
        <is>
          <t>Dr. Roxy Devi Chirom</t>
        </is>
      </c>
      <c r="D521" s="4" t="inlineStr"/>
      <c r="E521" s="4">
        <f>IF($D521="Custom","",IFERROR(XLOOKUP($B521&amp;"|"&amp;$D521,ShiftKnowledge!$A$2:$A$9,ShiftKnowledge!$D$2:$D$9,""),IFERROR(INDEX(ShiftKnowledge!$D$2:$D$9,MATCH($B521&amp;"|"&amp;$D521,ShiftKnowledge!$A$2:$A$9,0)),"")))</f>
        <v/>
      </c>
      <c r="F521" s="4" t="inlineStr"/>
      <c r="G521" s="4">
        <f>IF(AND($I521="",$L521=""),"",IFERROR(VALUE($I521),0)+IFERROR(VALUE($L521),0))</f>
        <v/>
      </c>
      <c r="H521" s="4">
        <f>IF($D521="Custom","",IFERROR(XLOOKUP($B521&amp;"|"&amp;$D521,ShiftKnowledge!$A$2:$A$9,ShiftKnowledge!$E$2:$E$9,""),IFERROR(INDEX(ShiftKnowledge!$E$2:$E$9,MATCH($B521&amp;"|"&amp;$D521,ShiftKnowledge!$A$2:$A$9,0)),"")))</f>
        <v/>
      </c>
      <c r="I521" s="4">
        <f>IF($D521="Custom","",IFERROR(XLOOKUP($B521&amp;"|"&amp;$D521,ShiftKnowledge!$A$2:$A$9,ShiftKnowledge!$F$2:$F$9,""),IFERROR(INDEX(ShiftKnowledge!$F$2:$F$9,MATCH($B521&amp;"|"&amp;$D521,ShiftKnowledge!$A$2:$A$9,0)),"")))</f>
        <v/>
      </c>
      <c r="J521" s="4">
        <f>IF($D521="Custom","",IFERROR(XLOOKUP($B521&amp;"|"&amp;$D521,ShiftKnowledge!$A$2:$A$9,ShiftKnowledge!$G$2:$G$9,""),IFERROR(INDEX(ShiftKnowledge!$G$2:$G$9,MATCH($B521&amp;"|"&amp;$D521,ShiftKnowledge!$A$2:$A$9,0)),"")))</f>
        <v/>
      </c>
      <c r="K521" s="4">
        <f>IF($D521="Custom","",IFERROR(XLOOKUP($B521&amp;"|"&amp;$D521,ShiftKnowledge!$A$2:$A$9,ShiftKnowledge!$H$2:$H$9,""),IFERROR(INDEX(ShiftKnowledge!$H$2:$H$9,MATCH($B521&amp;"|"&amp;$D521,ShiftKnowledge!$A$2:$A$9,0)),"")))</f>
        <v/>
      </c>
      <c r="L521" s="4">
        <f>IF($D521="Custom","",IFERROR(XLOOKUP($B521&amp;"|"&amp;$D521,ShiftKnowledge!$A$2:$A$9,ShiftKnowledge!$I$2:$I$9,""),IFERROR(INDEX(ShiftKnowledge!$I$2:$I$9,MATCH($B521&amp;"|"&amp;$D521,ShiftKnowledge!$A$2:$A$9,0)),"")))</f>
        <v/>
      </c>
      <c r="M521" s="4" t="inlineStr"/>
    </row>
    <row r="522" ht="20" customHeight="1">
      <c r="A522" s="6" t="inlineStr">
        <is>
          <t>20/11/2025</t>
        </is>
      </c>
      <c r="B522" s="6" t="inlineStr">
        <is>
          <t>General Surgery</t>
        </is>
      </c>
      <c r="C522" s="7" t="inlineStr">
        <is>
          <t>Dr. Rubab Nafees</t>
        </is>
      </c>
      <c r="D522" s="6" t="inlineStr"/>
      <c r="E522" s="6">
        <f>IF($D522="Custom","",IFERROR(XLOOKUP($B522&amp;"|"&amp;$D522,ShiftKnowledge!$A$2:$A$9,ShiftKnowledge!$D$2:$D$9,""),IFERROR(INDEX(ShiftKnowledge!$D$2:$D$9,MATCH($B522&amp;"|"&amp;$D522,ShiftKnowledge!$A$2:$A$9,0)),"")))</f>
        <v/>
      </c>
      <c r="F522" s="6" t="inlineStr"/>
      <c r="G522" s="6">
        <f>IF(AND($I522="",$L522=""),"",IFERROR(VALUE($I522),0)+IFERROR(VALUE($L522),0))</f>
        <v/>
      </c>
      <c r="H522" s="6">
        <f>IF($D522="Custom","",IFERROR(XLOOKUP($B522&amp;"|"&amp;$D522,ShiftKnowledge!$A$2:$A$9,ShiftKnowledge!$E$2:$E$9,""),IFERROR(INDEX(ShiftKnowledge!$E$2:$E$9,MATCH($B522&amp;"|"&amp;$D522,ShiftKnowledge!$A$2:$A$9,0)),"")))</f>
        <v/>
      </c>
      <c r="I522" s="6">
        <f>IF($D522="Custom","",IFERROR(XLOOKUP($B522&amp;"|"&amp;$D522,ShiftKnowledge!$A$2:$A$9,ShiftKnowledge!$F$2:$F$9,""),IFERROR(INDEX(ShiftKnowledge!$F$2:$F$9,MATCH($B522&amp;"|"&amp;$D522,ShiftKnowledge!$A$2:$A$9,0)),"")))</f>
        <v/>
      </c>
      <c r="J522" s="6">
        <f>IF($D522="Custom","",IFERROR(XLOOKUP($B522&amp;"|"&amp;$D522,ShiftKnowledge!$A$2:$A$9,ShiftKnowledge!$G$2:$G$9,""),IFERROR(INDEX(ShiftKnowledge!$G$2:$G$9,MATCH($B522&amp;"|"&amp;$D522,ShiftKnowledge!$A$2:$A$9,0)),"")))</f>
        <v/>
      </c>
      <c r="K522" s="6">
        <f>IF($D522="Custom","",IFERROR(XLOOKUP($B522&amp;"|"&amp;$D522,ShiftKnowledge!$A$2:$A$9,ShiftKnowledge!$H$2:$H$9,""),IFERROR(INDEX(ShiftKnowledge!$H$2:$H$9,MATCH($B522&amp;"|"&amp;$D522,ShiftKnowledge!$A$2:$A$9,0)),"")))</f>
        <v/>
      </c>
      <c r="L522" s="6">
        <f>IF($D522="Custom","",IFERROR(XLOOKUP($B522&amp;"|"&amp;$D522,ShiftKnowledge!$A$2:$A$9,ShiftKnowledge!$I$2:$I$9,""),IFERROR(INDEX(ShiftKnowledge!$I$2:$I$9,MATCH($B522&amp;"|"&amp;$D522,ShiftKnowledge!$A$2:$A$9,0)),"")))</f>
        <v/>
      </c>
      <c r="M522" s="6" t="inlineStr"/>
    </row>
    <row r="523" ht="20" customHeight="1">
      <c r="A523" s="4" t="inlineStr">
        <is>
          <t>20/11/2025</t>
        </is>
      </c>
      <c r="B523" s="4" t="inlineStr">
        <is>
          <t>Gynaecology</t>
        </is>
      </c>
      <c r="C523" s="5" t="inlineStr">
        <is>
          <t>Dr. Rubeena Badar Khan</t>
        </is>
      </c>
      <c r="D523" s="4" t="inlineStr"/>
      <c r="E523" s="4">
        <f>IF($D523="Custom","",IFERROR(XLOOKUP($B523&amp;"|"&amp;$D523,ShiftKnowledge!$A$2:$A$9,ShiftKnowledge!$D$2:$D$9,""),IFERROR(INDEX(ShiftKnowledge!$D$2:$D$9,MATCH($B523&amp;"|"&amp;$D523,ShiftKnowledge!$A$2:$A$9,0)),"")))</f>
        <v/>
      </c>
      <c r="F523" s="4" t="inlineStr"/>
      <c r="G523" s="4">
        <f>IF(AND($I523="",$L523=""),"",IFERROR(VALUE($I523),0)+IFERROR(VALUE($L523),0))</f>
        <v/>
      </c>
      <c r="H523" s="4">
        <f>IF($D523="Custom","",IFERROR(XLOOKUP($B523&amp;"|"&amp;$D523,ShiftKnowledge!$A$2:$A$9,ShiftKnowledge!$E$2:$E$9,""),IFERROR(INDEX(ShiftKnowledge!$E$2:$E$9,MATCH($B523&amp;"|"&amp;$D523,ShiftKnowledge!$A$2:$A$9,0)),"")))</f>
        <v/>
      </c>
      <c r="I523" s="4">
        <f>IF($D523="Custom","",IFERROR(XLOOKUP($B523&amp;"|"&amp;$D523,ShiftKnowledge!$A$2:$A$9,ShiftKnowledge!$F$2:$F$9,""),IFERROR(INDEX(ShiftKnowledge!$F$2:$F$9,MATCH($B523&amp;"|"&amp;$D523,ShiftKnowledge!$A$2:$A$9,0)),"")))</f>
        <v/>
      </c>
      <c r="J523" s="4">
        <f>IF($D523="Custom","",IFERROR(XLOOKUP($B523&amp;"|"&amp;$D523,ShiftKnowledge!$A$2:$A$9,ShiftKnowledge!$G$2:$G$9,""),IFERROR(INDEX(ShiftKnowledge!$G$2:$G$9,MATCH($B523&amp;"|"&amp;$D523,ShiftKnowledge!$A$2:$A$9,0)),"")))</f>
        <v/>
      </c>
      <c r="K523" s="4">
        <f>IF($D523="Custom","",IFERROR(XLOOKUP($B523&amp;"|"&amp;$D523,ShiftKnowledge!$A$2:$A$9,ShiftKnowledge!$H$2:$H$9,""),IFERROR(INDEX(ShiftKnowledge!$H$2:$H$9,MATCH($B523&amp;"|"&amp;$D523,ShiftKnowledge!$A$2:$A$9,0)),"")))</f>
        <v/>
      </c>
      <c r="L523" s="4">
        <f>IF($D523="Custom","",IFERROR(XLOOKUP($B523&amp;"|"&amp;$D523,ShiftKnowledge!$A$2:$A$9,ShiftKnowledge!$I$2:$I$9,""),IFERROR(INDEX(ShiftKnowledge!$I$2:$I$9,MATCH($B523&amp;"|"&amp;$D523,ShiftKnowledge!$A$2:$A$9,0)),"")))</f>
        <v/>
      </c>
      <c r="M523" s="4" t="inlineStr"/>
    </row>
    <row r="524" ht="20" customHeight="1">
      <c r="A524" s="6" t="inlineStr">
        <is>
          <t>20/11/2025</t>
        </is>
      </c>
      <c r="B524" s="6" t="inlineStr">
        <is>
          <t>Dental</t>
        </is>
      </c>
      <c r="C524" s="7" t="inlineStr">
        <is>
          <t>Dr. Safa Abdul Gayyoom</t>
        </is>
      </c>
      <c r="D524" s="6" t="inlineStr"/>
      <c r="E524" s="6">
        <f>IF($D524="Custom","",IFERROR(XLOOKUP($B524&amp;"|"&amp;$D524,ShiftKnowledge!$A$2:$A$9,ShiftKnowledge!$D$2:$D$9,""),IFERROR(INDEX(ShiftKnowledge!$D$2:$D$9,MATCH($B524&amp;"|"&amp;$D524,ShiftKnowledge!$A$2:$A$9,0)),"")))</f>
        <v/>
      </c>
      <c r="F524" s="6" t="inlineStr"/>
      <c r="G524" s="6">
        <f>IF(AND($I524="",$L524=""),"",IFERROR(VALUE($I524),0)+IFERROR(VALUE($L524),0))</f>
        <v/>
      </c>
      <c r="H524" s="6">
        <f>IF($D524="Custom","",IFERROR(XLOOKUP($B524&amp;"|"&amp;$D524,ShiftKnowledge!$A$2:$A$9,ShiftKnowledge!$E$2:$E$9,""),IFERROR(INDEX(ShiftKnowledge!$E$2:$E$9,MATCH($B524&amp;"|"&amp;$D524,ShiftKnowledge!$A$2:$A$9,0)),"")))</f>
        <v/>
      </c>
      <c r="I524" s="6">
        <f>IF($D524="Custom","",IFERROR(XLOOKUP($B524&amp;"|"&amp;$D524,ShiftKnowledge!$A$2:$A$9,ShiftKnowledge!$F$2:$F$9,""),IFERROR(INDEX(ShiftKnowledge!$F$2:$F$9,MATCH($B524&amp;"|"&amp;$D524,ShiftKnowledge!$A$2:$A$9,0)),"")))</f>
        <v/>
      </c>
      <c r="J524" s="6">
        <f>IF($D524="Custom","",IFERROR(XLOOKUP($B524&amp;"|"&amp;$D524,ShiftKnowledge!$A$2:$A$9,ShiftKnowledge!$G$2:$G$9,""),IFERROR(INDEX(ShiftKnowledge!$G$2:$G$9,MATCH($B524&amp;"|"&amp;$D524,ShiftKnowledge!$A$2:$A$9,0)),"")))</f>
        <v/>
      </c>
      <c r="K524" s="6">
        <f>IF($D524="Custom","",IFERROR(XLOOKUP($B524&amp;"|"&amp;$D524,ShiftKnowledge!$A$2:$A$9,ShiftKnowledge!$H$2:$H$9,""),IFERROR(INDEX(ShiftKnowledge!$H$2:$H$9,MATCH($B524&amp;"|"&amp;$D524,ShiftKnowledge!$A$2:$A$9,0)),"")))</f>
        <v/>
      </c>
      <c r="L524" s="6">
        <f>IF($D524="Custom","",IFERROR(XLOOKUP($B524&amp;"|"&amp;$D524,ShiftKnowledge!$A$2:$A$9,ShiftKnowledge!$I$2:$I$9,""),IFERROR(INDEX(ShiftKnowledge!$I$2:$I$9,MATCH($B524&amp;"|"&amp;$D524,ShiftKnowledge!$A$2:$A$9,0)),"")))</f>
        <v/>
      </c>
      <c r="M524" s="6" t="inlineStr"/>
    </row>
    <row r="525" ht="20" customHeight="1">
      <c r="A525" s="4" t="inlineStr">
        <is>
          <t>20/11/2025</t>
        </is>
      </c>
      <c r="B525" s="4" t="inlineStr">
        <is>
          <t>Internal Medicine</t>
        </is>
      </c>
      <c r="C525" s="5" t="inlineStr">
        <is>
          <t>Dr. Saroj Thapa</t>
        </is>
      </c>
      <c r="D525" s="4" t="inlineStr"/>
      <c r="E525" s="4">
        <f>IF($D525="Custom","",IFERROR(XLOOKUP($B525&amp;"|"&amp;$D525,ShiftKnowledge!$A$2:$A$9,ShiftKnowledge!$D$2:$D$9,""),IFERROR(INDEX(ShiftKnowledge!$D$2:$D$9,MATCH($B525&amp;"|"&amp;$D525,ShiftKnowledge!$A$2:$A$9,0)),"")))</f>
        <v/>
      </c>
      <c r="F525" s="4" t="inlineStr"/>
      <c r="G525" s="4">
        <f>IF(AND($I525="",$L525=""),"",IFERROR(VALUE($I525),0)+IFERROR(VALUE($L525),0))</f>
        <v/>
      </c>
      <c r="H525" s="4">
        <f>IF($D525="Custom","",IFERROR(XLOOKUP($B525&amp;"|"&amp;$D525,ShiftKnowledge!$A$2:$A$9,ShiftKnowledge!$E$2:$E$9,""),IFERROR(INDEX(ShiftKnowledge!$E$2:$E$9,MATCH($B525&amp;"|"&amp;$D525,ShiftKnowledge!$A$2:$A$9,0)),"")))</f>
        <v/>
      </c>
      <c r="I525" s="4">
        <f>IF($D525="Custom","",IFERROR(XLOOKUP($B525&amp;"|"&amp;$D525,ShiftKnowledge!$A$2:$A$9,ShiftKnowledge!$F$2:$F$9,""),IFERROR(INDEX(ShiftKnowledge!$F$2:$F$9,MATCH($B525&amp;"|"&amp;$D525,ShiftKnowledge!$A$2:$A$9,0)),"")))</f>
        <v/>
      </c>
      <c r="J525" s="4">
        <f>IF($D525="Custom","",IFERROR(XLOOKUP($B525&amp;"|"&amp;$D525,ShiftKnowledge!$A$2:$A$9,ShiftKnowledge!$G$2:$G$9,""),IFERROR(INDEX(ShiftKnowledge!$G$2:$G$9,MATCH($B525&amp;"|"&amp;$D525,ShiftKnowledge!$A$2:$A$9,0)),"")))</f>
        <v/>
      </c>
      <c r="K525" s="4">
        <f>IF($D525="Custom","",IFERROR(XLOOKUP($B525&amp;"|"&amp;$D525,ShiftKnowledge!$A$2:$A$9,ShiftKnowledge!$H$2:$H$9,""),IFERROR(INDEX(ShiftKnowledge!$H$2:$H$9,MATCH($B525&amp;"|"&amp;$D525,ShiftKnowledge!$A$2:$A$9,0)),"")))</f>
        <v/>
      </c>
      <c r="L525" s="4">
        <f>IF($D525="Custom","",IFERROR(XLOOKUP($B525&amp;"|"&amp;$D525,ShiftKnowledge!$A$2:$A$9,ShiftKnowledge!$I$2:$I$9,""),IFERROR(INDEX(ShiftKnowledge!$I$2:$I$9,MATCH($B525&amp;"|"&amp;$D525,ShiftKnowledge!$A$2:$A$9,0)),"")))</f>
        <v/>
      </c>
      <c r="M525" s="4" t="inlineStr"/>
    </row>
    <row r="526" ht="20" customHeight="1">
      <c r="A526" s="6" t="inlineStr">
        <is>
          <t>20/11/2025</t>
        </is>
      </c>
      <c r="B526" s="6" t="inlineStr">
        <is>
          <t>General Surgery</t>
        </is>
      </c>
      <c r="C526" s="7" t="inlineStr">
        <is>
          <t>Dr. Su Mon Kyaw</t>
        </is>
      </c>
      <c r="D526" s="6" t="inlineStr"/>
      <c r="E526" s="6">
        <f>IF($D526="Custom","",IFERROR(XLOOKUP($B526&amp;"|"&amp;$D526,ShiftKnowledge!$A$2:$A$9,ShiftKnowledge!$D$2:$D$9,""),IFERROR(INDEX(ShiftKnowledge!$D$2:$D$9,MATCH($B526&amp;"|"&amp;$D526,ShiftKnowledge!$A$2:$A$9,0)),"")))</f>
        <v/>
      </c>
      <c r="F526" s="6" t="inlineStr"/>
      <c r="G526" s="6">
        <f>IF(AND($I526="",$L526=""),"",IFERROR(VALUE($I526),0)+IFERROR(VALUE($L526),0))</f>
        <v/>
      </c>
      <c r="H526" s="6">
        <f>IF($D526="Custom","",IFERROR(XLOOKUP($B526&amp;"|"&amp;$D526,ShiftKnowledge!$A$2:$A$9,ShiftKnowledge!$E$2:$E$9,""),IFERROR(INDEX(ShiftKnowledge!$E$2:$E$9,MATCH($B526&amp;"|"&amp;$D526,ShiftKnowledge!$A$2:$A$9,0)),"")))</f>
        <v/>
      </c>
      <c r="I526" s="6">
        <f>IF($D526="Custom","",IFERROR(XLOOKUP($B526&amp;"|"&amp;$D526,ShiftKnowledge!$A$2:$A$9,ShiftKnowledge!$F$2:$F$9,""),IFERROR(INDEX(ShiftKnowledge!$F$2:$F$9,MATCH($B526&amp;"|"&amp;$D526,ShiftKnowledge!$A$2:$A$9,0)),"")))</f>
        <v/>
      </c>
      <c r="J526" s="6">
        <f>IF($D526="Custom","",IFERROR(XLOOKUP($B526&amp;"|"&amp;$D526,ShiftKnowledge!$A$2:$A$9,ShiftKnowledge!$G$2:$G$9,""),IFERROR(INDEX(ShiftKnowledge!$G$2:$G$9,MATCH($B526&amp;"|"&amp;$D526,ShiftKnowledge!$A$2:$A$9,0)),"")))</f>
        <v/>
      </c>
      <c r="K526" s="6">
        <f>IF($D526="Custom","",IFERROR(XLOOKUP($B526&amp;"|"&amp;$D526,ShiftKnowledge!$A$2:$A$9,ShiftKnowledge!$H$2:$H$9,""),IFERROR(INDEX(ShiftKnowledge!$H$2:$H$9,MATCH($B526&amp;"|"&amp;$D526,ShiftKnowledge!$A$2:$A$9,0)),"")))</f>
        <v/>
      </c>
      <c r="L526" s="6">
        <f>IF($D526="Custom","",IFERROR(XLOOKUP($B526&amp;"|"&amp;$D526,ShiftKnowledge!$A$2:$A$9,ShiftKnowledge!$I$2:$I$9,""),IFERROR(INDEX(ShiftKnowledge!$I$2:$I$9,MATCH($B526&amp;"|"&amp;$D526,ShiftKnowledge!$A$2:$A$9,0)),"")))</f>
        <v/>
      </c>
      <c r="M526" s="6" t="inlineStr"/>
    </row>
    <row r="527" ht="20" customHeight="1">
      <c r="A527" s="4" t="inlineStr">
        <is>
          <t>20/11/2025</t>
        </is>
      </c>
      <c r="B527" s="4" t="inlineStr">
        <is>
          <t>Internal Medicine</t>
        </is>
      </c>
      <c r="C527" s="5" t="inlineStr">
        <is>
          <t>Dr. Sumretee</t>
        </is>
      </c>
      <c r="D527" s="4" t="inlineStr"/>
      <c r="E527" s="4">
        <f>IF($D527="Custom","",IFERROR(XLOOKUP($B527&amp;"|"&amp;$D527,ShiftKnowledge!$A$2:$A$9,ShiftKnowledge!$D$2:$D$9,""),IFERROR(INDEX(ShiftKnowledge!$D$2:$D$9,MATCH($B527&amp;"|"&amp;$D527,ShiftKnowledge!$A$2:$A$9,0)),"")))</f>
        <v/>
      </c>
      <c r="F527" s="4" t="inlineStr"/>
      <c r="G527" s="4">
        <f>IF(AND($I527="",$L527=""),"",IFERROR(VALUE($I527),0)+IFERROR(VALUE($L527),0))</f>
        <v/>
      </c>
      <c r="H527" s="4">
        <f>IF($D527="Custom","",IFERROR(XLOOKUP($B527&amp;"|"&amp;$D527,ShiftKnowledge!$A$2:$A$9,ShiftKnowledge!$E$2:$E$9,""),IFERROR(INDEX(ShiftKnowledge!$E$2:$E$9,MATCH($B527&amp;"|"&amp;$D527,ShiftKnowledge!$A$2:$A$9,0)),"")))</f>
        <v/>
      </c>
      <c r="I527" s="4">
        <f>IF($D527="Custom","",IFERROR(XLOOKUP($B527&amp;"|"&amp;$D527,ShiftKnowledge!$A$2:$A$9,ShiftKnowledge!$F$2:$F$9,""),IFERROR(INDEX(ShiftKnowledge!$F$2:$F$9,MATCH($B527&amp;"|"&amp;$D527,ShiftKnowledge!$A$2:$A$9,0)),"")))</f>
        <v/>
      </c>
      <c r="J527" s="4">
        <f>IF($D527="Custom","",IFERROR(XLOOKUP($B527&amp;"|"&amp;$D527,ShiftKnowledge!$A$2:$A$9,ShiftKnowledge!$G$2:$G$9,""),IFERROR(INDEX(ShiftKnowledge!$G$2:$G$9,MATCH($B527&amp;"|"&amp;$D527,ShiftKnowledge!$A$2:$A$9,0)),"")))</f>
        <v/>
      </c>
      <c r="K527" s="4">
        <f>IF($D527="Custom","",IFERROR(XLOOKUP($B527&amp;"|"&amp;$D527,ShiftKnowledge!$A$2:$A$9,ShiftKnowledge!$H$2:$H$9,""),IFERROR(INDEX(ShiftKnowledge!$H$2:$H$9,MATCH($B527&amp;"|"&amp;$D527,ShiftKnowledge!$A$2:$A$9,0)),"")))</f>
        <v/>
      </c>
      <c r="L527" s="4">
        <f>IF($D527="Custom","",IFERROR(XLOOKUP($B527&amp;"|"&amp;$D527,ShiftKnowledge!$A$2:$A$9,ShiftKnowledge!$I$2:$I$9,""),IFERROR(INDEX(ShiftKnowledge!$I$2:$I$9,MATCH($B527&amp;"|"&amp;$D527,ShiftKnowledge!$A$2:$A$9,0)),"")))</f>
        <v/>
      </c>
      <c r="M527" s="4" t="inlineStr"/>
    </row>
    <row r="528" ht="20" customHeight="1">
      <c r="A528" s="6" t="inlineStr">
        <is>
          <t>20/11/2025</t>
        </is>
      </c>
      <c r="B528" s="6" t="inlineStr">
        <is>
          <t>Orthopaedics</t>
        </is>
      </c>
      <c r="C528" s="7" t="inlineStr">
        <is>
          <t>Dr. Vinod Ramlal</t>
        </is>
      </c>
      <c r="D528" s="6" t="inlineStr"/>
      <c r="E528" s="6">
        <f>IF($D528="Custom","",IFERROR(XLOOKUP($B528&amp;"|"&amp;$D528,ShiftKnowledge!$A$2:$A$9,ShiftKnowledge!$D$2:$D$9,""),IFERROR(INDEX(ShiftKnowledge!$D$2:$D$9,MATCH($B528&amp;"|"&amp;$D528,ShiftKnowledge!$A$2:$A$9,0)),"")))</f>
        <v/>
      </c>
      <c r="F528" s="6" t="inlineStr"/>
      <c r="G528" s="6">
        <f>IF(AND($I528="",$L528=""),"",IFERROR(VALUE($I528),0)+IFERROR(VALUE($L528),0))</f>
        <v/>
      </c>
      <c r="H528" s="6">
        <f>IF($D528="Custom","",IFERROR(XLOOKUP($B528&amp;"|"&amp;$D528,ShiftKnowledge!$A$2:$A$9,ShiftKnowledge!$E$2:$E$9,""),IFERROR(INDEX(ShiftKnowledge!$E$2:$E$9,MATCH($B528&amp;"|"&amp;$D528,ShiftKnowledge!$A$2:$A$9,0)),"")))</f>
        <v/>
      </c>
      <c r="I528" s="6">
        <f>IF($D528="Custom","",IFERROR(XLOOKUP($B528&amp;"|"&amp;$D528,ShiftKnowledge!$A$2:$A$9,ShiftKnowledge!$F$2:$F$9,""),IFERROR(INDEX(ShiftKnowledge!$F$2:$F$9,MATCH($B528&amp;"|"&amp;$D528,ShiftKnowledge!$A$2:$A$9,0)),"")))</f>
        <v/>
      </c>
      <c r="J528" s="6">
        <f>IF($D528="Custom","",IFERROR(XLOOKUP($B528&amp;"|"&amp;$D528,ShiftKnowledge!$A$2:$A$9,ShiftKnowledge!$G$2:$G$9,""),IFERROR(INDEX(ShiftKnowledge!$G$2:$G$9,MATCH($B528&amp;"|"&amp;$D528,ShiftKnowledge!$A$2:$A$9,0)),"")))</f>
        <v/>
      </c>
      <c r="K528" s="6">
        <f>IF($D528="Custom","",IFERROR(XLOOKUP($B528&amp;"|"&amp;$D528,ShiftKnowledge!$A$2:$A$9,ShiftKnowledge!$H$2:$H$9,""),IFERROR(INDEX(ShiftKnowledge!$H$2:$H$9,MATCH($B528&amp;"|"&amp;$D528,ShiftKnowledge!$A$2:$A$9,0)),"")))</f>
        <v/>
      </c>
      <c r="L528" s="6">
        <f>IF($D528="Custom","",IFERROR(XLOOKUP($B528&amp;"|"&amp;$D528,ShiftKnowledge!$A$2:$A$9,ShiftKnowledge!$I$2:$I$9,""),IFERROR(INDEX(ShiftKnowledge!$I$2:$I$9,MATCH($B528&amp;"|"&amp;$D528,ShiftKnowledge!$A$2:$A$9,0)),"")))</f>
        <v/>
      </c>
      <c r="M528" s="6" t="inlineStr"/>
    </row>
    <row r="529" ht="20" customHeight="1">
      <c r="A529" s="4" t="inlineStr">
        <is>
          <t>20/11/2025</t>
        </is>
      </c>
      <c r="B529" s="4" t="inlineStr">
        <is>
          <t>Paediatrics</t>
        </is>
      </c>
      <c r="C529" s="5" t="inlineStr">
        <is>
          <t>Dr. Yi Nwe Soe</t>
        </is>
      </c>
      <c r="D529" s="4" t="inlineStr"/>
      <c r="E529" s="4">
        <f>IF($D529="Custom","",IFERROR(XLOOKUP($B529&amp;"|"&amp;$D529,ShiftKnowledge!$A$2:$A$9,ShiftKnowledge!$D$2:$D$9,""),IFERROR(INDEX(ShiftKnowledge!$D$2:$D$9,MATCH($B529&amp;"|"&amp;$D529,ShiftKnowledge!$A$2:$A$9,0)),"")))</f>
        <v/>
      </c>
      <c r="F529" s="4" t="inlineStr"/>
      <c r="G529" s="4">
        <f>IF(AND($I529="",$L529=""),"",IFERROR(VALUE($I529),0)+IFERROR(VALUE($L529),0))</f>
        <v/>
      </c>
      <c r="H529" s="4">
        <f>IF($D529="Custom","",IFERROR(XLOOKUP($B529&amp;"|"&amp;$D529,ShiftKnowledge!$A$2:$A$9,ShiftKnowledge!$E$2:$E$9,""),IFERROR(INDEX(ShiftKnowledge!$E$2:$E$9,MATCH($B529&amp;"|"&amp;$D529,ShiftKnowledge!$A$2:$A$9,0)),"")))</f>
        <v/>
      </c>
      <c r="I529" s="4">
        <f>IF($D529="Custom","",IFERROR(XLOOKUP($B529&amp;"|"&amp;$D529,ShiftKnowledge!$A$2:$A$9,ShiftKnowledge!$F$2:$F$9,""),IFERROR(INDEX(ShiftKnowledge!$F$2:$F$9,MATCH($B529&amp;"|"&amp;$D529,ShiftKnowledge!$A$2:$A$9,0)),"")))</f>
        <v/>
      </c>
      <c r="J529" s="4">
        <f>IF($D529="Custom","",IFERROR(XLOOKUP($B529&amp;"|"&amp;$D529,ShiftKnowledge!$A$2:$A$9,ShiftKnowledge!$G$2:$G$9,""),IFERROR(INDEX(ShiftKnowledge!$G$2:$G$9,MATCH($B529&amp;"|"&amp;$D529,ShiftKnowledge!$A$2:$A$9,0)),"")))</f>
        <v/>
      </c>
      <c r="K529" s="4">
        <f>IF($D529="Custom","",IFERROR(XLOOKUP($B529&amp;"|"&amp;$D529,ShiftKnowledge!$A$2:$A$9,ShiftKnowledge!$H$2:$H$9,""),IFERROR(INDEX(ShiftKnowledge!$H$2:$H$9,MATCH($B529&amp;"|"&amp;$D529,ShiftKnowledge!$A$2:$A$9,0)),"")))</f>
        <v/>
      </c>
      <c r="L529" s="4">
        <f>IF($D529="Custom","",IFERROR(XLOOKUP($B529&amp;"|"&amp;$D529,ShiftKnowledge!$A$2:$A$9,ShiftKnowledge!$I$2:$I$9,""),IFERROR(INDEX(ShiftKnowledge!$I$2:$I$9,MATCH($B529&amp;"|"&amp;$D529,ShiftKnowledge!$A$2:$A$9,0)),"")))</f>
        <v/>
      </c>
      <c r="M529" s="4" t="inlineStr"/>
    </row>
    <row r="530" ht="20" customHeight="1">
      <c r="A530" s="6" t="inlineStr">
        <is>
          <t>20/11/2025</t>
        </is>
      </c>
      <c r="B530" s="6" t="inlineStr">
        <is>
          <t>Gynaecology</t>
        </is>
      </c>
      <c r="C530" s="7" t="inlineStr">
        <is>
          <t>Dr. Zarina Kabilova</t>
        </is>
      </c>
      <c r="D530" s="6" t="inlineStr"/>
      <c r="E530" s="6">
        <f>IF($D530="Custom","",IFERROR(XLOOKUP($B530&amp;"|"&amp;$D530,ShiftKnowledge!$A$2:$A$9,ShiftKnowledge!$D$2:$D$9,""),IFERROR(INDEX(ShiftKnowledge!$D$2:$D$9,MATCH($B530&amp;"|"&amp;$D530,ShiftKnowledge!$A$2:$A$9,0)),"")))</f>
        <v/>
      </c>
      <c r="F530" s="6" t="inlineStr"/>
      <c r="G530" s="6">
        <f>IF(AND($I530="",$L530=""),"",IFERROR(VALUE($I530),0)+IFERROR(VALUE($L530),0))</f>
        <v/>
      </c>
      <c r="H530" s="6">
        <f>IF($D530="Custom","",IFERROR(XLOOKUP($B530&amp;"|"&amp;$D530,ShiftKnowledge!$A$2:$A$9,ShiftKnowledge!$E$2:$E$9,""),IFERROR(INDEX(ShiftKnowledge!$E$2:$E$9,MATCH($B530&amp;"|"&amp;$D530,ShiftKnowledge!$A$2:$A$9,0)),"")))</f>
        <v/>
      </c>
      <c r="I530" s="6">
        <f>IF($D530="Custom","",IFERROR(XLOOKUP($B530&amp;"|"&amp;$D530,ShiftKnowledge!$A$2:$A$9,ShiftKnowledge!$F$2:$F$9,""),IFERROR(INDEX(ShiftKnowledge!$F$2:$F$9,MATCH($B530&amp;"|"&amp;$D530,ShiftKnowledge!$A$2:$A$9,0)),"")))</f>
        <v/>
      </c>
      <c r="J530" s="6">
        <f>IF($D530="Custom","",IFERROR(XLOOKUP($B530&amp;"|"&amp;$D530,ShiftKnowledge!$A$2:$A$9,ShiftKnowledge!$G$2:$G$9,""),IFERROR(INDEX(ShiftKnowledge!$G$2:$G$9,MATCH($B530&amp;"|"&amp;$D530,ShiftKnowledge!$A$2:$A$9,0)),"")))</f>
        <v/>
      </c>
      <c r="K530" s="6">
        <f>IF($D530="Custom","",IFERROR(XLOOKUP($B530&amp;"|"&amp;$D530,ShiftKnowledge!$A$2:$A$9,ShiftKnowledge!$H$2:$H$9,""),IFERROR(INDEX(ShiftKnowledge!$H$2:$H$9,MATCH($B530&amp;"|"&amp;$D530,ShiftKnowledge!$A$2:$A$9,0)),"")))</f>
        <v/>
      </c>
      <c r="L530" s="6">
        <f>IF($D530="Custom","",IFERROR(XLOOKUP($B530&amp;"|"&amp;$D530,ShiftKnowledge!$A$2:$A$9,ShiftKnowledge!$I$2:$I$9,""),IFERROR(INDEX(ShiftKnowledge!$I$2:$I$9,MATCH($B530&amp;"|"&amp;$D530,ShiftKnowledge!$A$2:$A$9,0)),"")))</f>
        <v/>
      </c>
      <c r="M530" s="6" t="inlineStr"/>
    </row>
  </sheetData>
  <dataValidations count="2">
    <dataValidation sqref="M3:M830" showDropDown="0" showInputMessage="0" showErrorMessage="0" allowBlank="1" errorTitle="Invalid Status" error="Choose OFF, ON/CALL, POST ON/CALL (blank = normal duty)" type="list">
      <formula1>"OFF,ON/CALL,POST ON/CALL"</formula1>
    </dataValidation>
    <dataValidation sqref="D3:D830" showDropDown="0" showInputMessage="0" showErrorMessage="0" allowBlank="1" errorTitle="Invalid Shift" error="Choose Shift 1, Shift 2 or Custom" type="list">
      <formula1>"Shift 1,Shift 2,Custom"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Key</t>
        </is>
      </c>
      <c r="B1" s="8" t="inlineStr">
        <is>
          <t>Specialty</t>
        </is>
      </c>
      <c r="C1" s="8" t="inlineStr">
        <is>
          <t>Shift</t>
        </is>
      </c>
      <c r="D1" s="8" t="inlineStr">
        <is>
          <t>Start Time</t>
        </is>
      </c>
      <c r="E1" s="8" t="inlineStr">
        <is>
          <t>Before Timing</t>
        </is>
      </c>
      <c r="F1" s="8" t="inlineStr">
        <is>
          <t>Before Patients</t>
        </is>
      </c>
      <c r="G1" s="8" t="inlineStr">
        <is>
          <t>Breaks</t>
        </is>
      </c>
      <c r="H1" s="8" t="inlineStr">
        <is>
          <t>After Timing</t>
        </is>
      </c>
      <c r="I1" s="8" t="inlineStr">
        <is>
          <t>After Patients</t>
        </is>
      </c>
      <c r="J1" s="8" t="inlineStr">
        <is>
          <t>Total Patients</t>
        </is>
      </c>
    </row>
    <row r="2">
      <c r="A2" t="inlineStr">
        <is>
          <t>Internal Medicine|Shift 1</t>
        </is>
      </c>
      <c r="B2" t="inlineStr">
        <is>
          <t>Internal Medicine</t>
        </is>
      </c>
      <c r="C2" t="inlineStr">
        <is>
          <t>Shift 1</t>
        </is>
      </c>
      <c r="D2" t="inlineStr">
        <is>
          <t>08:00</t>
        </is>
      </c>
      <c r="E2" t="inlineStr">
        <is>
          <t>08:00-12:00</t>
        </is>
      </c>
      <c r="F2" t="n">
        <v>15</v>
      </c>
      <c r="G2" t="inlineStr">
        <is>
          <t>12:00-13:00</t>
        </is>
      </c>
      <c r="H2" t="inlineStr">
        <is>
          <t>13:00-16:00</t>
        </is>
      </c>
      <c r="I2" t="n">
        <v>15</v>
      </c>
      <c r="J2" t="n">
        <v>30</v>
      </c>
    </row>
    <row r="3">
      <c r="A3" t="inlineStr">
        <is>
          <t>Internal Medicine|Shift 2</t>
        </is>
      </c>
      <c r="B3" t="inlineStr">
        <is>
          <t>Internal Medicine</t>
        </is>
      </c>
      <c r="C3" t="inlineStr">
        <is>
          <t>Shift 2</t>
        </is>
      </c>
      <c r="D3" t="inlineStr">
        <is>
          <t>13:00</t>
        </is>
      </c>
      <c r="E3" t="inlineStr">
        <is>
          <t>13:00-18:00</t>
        </is>
      </c>
      <c r="F3" t="n">
        <v>15</v>
      </c>
      <c r="G3" t="inlineStr">
        <is>
          <t>18:00-19:00</t>
        </is>
      </c>
      <c r="H3" t="inlineStr">
        <is>
          <t>19:00-21:00</t>
        </is>
      </c>
      <c r="I3" t="n">
        <v>15</v>
      </c>
      <c r="J3" t="n">
        <v>30</v>
      </c>
    </row>
    <row r="4">
      <c r="A4" t="inlineStr">
        <is>
          <t>Orthopaedics|Shift 1</t>
        </is>
      </c>
      <c r="B4" t="inlineStr">
        <is>
          <t>Orthopaedics</t>
        </is>
      </c>
      <c r="C4" t="inlineStr">
        <is>
          <t>Shift 1</t>
        </is>
      </c>
      <c r="D4" t="inlineStr">
        <is>
          <t>08:00</t>
        </is>
      </c>
      <c r="E4" t="inlineStr">
        <is>
          <t>08:00-12:30</t>
        </is>
      </c>
      <c r="F4" t="n">
        <v>12</v>
      </c>
      <c r="G4" t="inlineStr">
        <is>
          <t>12:30-13:30</t>
        </is>
      </c>
      <c r="H4" t="inlineStr">
        <is>
          <t>13:30-16:30</t>
        </is>
      </c>
      <c r="I4" t="n">
        <v>12</v>
      </c>
      <c r="J4" t="n">
        <v>24</v>
      </c>
    </row>
    <row r="5">
      <c r="A5" t="inlineStr">
        <is>
          <t>Orthopaedics|Shift 2</t>
        </is>
      </c>
      <c r="B5" t="inlineStr">
        <is>
          <t>Orthopaedics</t>
        </is>
      </c>
      <c r="C5" t="inlineStr">
        <is>
          <t>Shift 2</t>
        </is>
      </c>
      <c r="D5" t="inlineStr">
        <is>
          <t>13:00</t>
        </is>
      </c>
      <c r="E5" t="inlineStr">
        <is>
          <t>13:00-17:00</t>
        </is>
      </c>
      <c r="F5" t="n">
        <v>12</v>
      </c>
      <c r="G5" t="inlineStr">
        <is>
          <t>17:00-18:00</t>
        </is>
      </c>
      <c r="H5" t="inlineStr">
        <is>
          <t>18:00-21:00</t>
        </is>
      </c>
      <c r="I5" t="n">
        <v>12</v>
      </c>
      <c r="J5" t="n">
        <v>24</v>
      </c>
    </row>
    <row r="6">
      <c r="A6" t="inlineStr">
        <is>
          <t>Obstetrics &amp; Gynaecology|Shift 1</t>
        </is>
      </c>
      <c r="B6" t="inlineStr">
        <is>
          <t>Obstetrics &amp; Gynaecology</t>
        </is>
      </c>
      <c r="C6" t="inlineStr">
        <is>
          <t>Shift 1</t>
        </is>
      </c>
      <c r="D6" t="inlineStr">
        <is>
          <t>08:00</t>
        </is>
      </c>
      <c r="E6" t="inlineStr">
        <is>
          <t>08:00-12:00</t>
        </is>
      </c>
      <c r="F6" t="n">
        <v>12</v>
      </c>
      <c r="G6" t="inlineStr">
        <is>
          <t>12:00-13:00</t>
        </is>
      </c>
      <c r="H6" t="inlineStr">
        <is>
          <t>13:00-16:00</t>
        </is>
      </c>
      <c r="I6" t="n">
        <v>12</v>
      </c>
      <c r="J6" t="n">
        <v>24</v>
      </c>
    </row>
    <row r="7">
      <c r="A7" t="inlineStr">
        <is>
          <t>Obstetrics &amp; Gynaecology|Shift 2</t>
        </is>
      </c>
      <c r="B7" t="inlineStr">
        <is>
          <t>Obstetrics &amp; Gynaecology</t>
        </is>
      </c>
      <c r="C7" t="inlineStr">
        <is>
          <t>Shift 2</t>
        </is>
      </c>
      <c r="D7" t="inlineStr">
        <is>
          <t>13:00</t>
        </is>
      </c>
      <c r="E7" t="inlineStr">
        <is>
          <t>13:00-18:00</t>
        </is>
      </c>
      <c r="F7" t="n">
        <v>12</v>
      </c>
      <c r="G7" t="inlineStr">
        <is>
          <t>18:00-19:00</t>
        </is>
      </c>
      <c r="H7" t="inlineStr">
        <is>
          <t>19:00-21:00</t>
        </is>
      </c>
      <c r="I7" t="n">
        <v>12</v>
      </c>
      <c r="J7" t="n">
        <v>24</v>
      </c>
    </row>
    <row r="8">
      <c r="A8" t="inlineStr">
        <is>
          <t>Paediatrics|Shift 1</t>
        </is>
      </c>
      <c r="B8" t="inlineStr">
        <is>
          <t>Paediatrics</t>
        </is>
      </c>
      <c r="C8" t="inlineStr">
        <is>
          <t>Shift 1</t>
        </is>
      </c>
      <c r="D8" t="inlineStr">
        <is>
          <t>08:00</t>
        </is>
      </c>
      <c r="E8" t="inlineStr">
        <is>
          <t>08:00-12:00</t>
        </is>
      </c>
      <c r="F8" t="n">
        <v>15</v>
      </c>
      <c r="G8" t="inlineStr">
        <is>
          <t>12:00-13:00</t>
        </is>
      </c>
      <c r="H8" t="inlineStr">
        <is>
          <t>13:00-16:00</t>
        </is>
      </c>
      <c r="I8" t="n">
        <v>15</v>
      </c>
      <c r="J8" t="n">
        <v>30</v>
      </c>
    </row>
    <row r="9">
      <c r="A9" t="inlineStr">
        <is>
          <t>Paediatrics|Shift 2</t>
        </is>
      </c>
      <c r="B9" t="inlineStr">
        <is>
          <t>Paediatrics</t>
        </is>
      </c>
      <c r="C9" t="inlineStr">
        <is>
          <t>Shift 2</t>
        </is>
      </c>
      <c r="D9" t="inlineStr">
        <is>
          <t>13:00</t>
        </is>
      </c>
      <c r="E9" t="inlineStr">
        <is>
          <t>13:00-18:00</t>
        </is>
      </c>
      <c r="F9" t="n">
        <v>15</v>
      </c>
      <c r="G9" t="inlineStr">
        <is>
          <t>18:00-19:00</t>
        </is>
      </c>
      <c r="H9" t="inlineStr">
        <is>
          <t>19:00-21:00</t>
        </is>
      </c>
      <c r="I9" t="n">
        <v>15</v>
      </c>
      <c r="J9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9" t="inlineStr">
        <is>
          <t>MODERN TEMPLATE QUICK GUIDE</t>
        </is>
      </c>
    </row>
    <row r="2">
      <c r="A2" s="10" t="inlineStr"/>
    </row>
    <row r="3">
      <c r="A3" s="11" t="inlineStr">
        <is>
          <t>Editing Tips:</t>
        </is>
      </c>
    </row>
    <row r="4">
      <c r="A4" s="10" t="inlineStr">
        <is>
          <t>• Enter Start Time as 08:00 (24h).</t>
        </is>
      </c>
    </row>
    <row r="5">
      <c r="A5" s="10" t="inlineStr">
        <is>
          <t>• Breaks: e.g. 11:00-13:00 or leave blank.</t>
        </is>
      </c>
    </row>
    <row r="6">
      <c r="A6" s="10" t="inlineStr">
        <is>
          <t>• Timing columns hold ranges (e.g. 08:00-11:00).</t>
        </is>
      </c>
    </row>
    <row r="7">
      <c r="A7" s="10" t="inlineStr">
        <is>
          <t>• Patient columns hold counts (integers).</t>
        </is>
      </c>
    </row>
    <row r="8">
      <c r="A8" s="10" t="inlineStr">
        <is>
          <t>• Use Shift to auto-fill timing and breaks from the knowledge base; choose Custom to override.</t>
        </is>
      </c>
    </row>
    <row r="9">
      <c r="A9" s="10" t="inlineStr">
        <is>
          <t>• Leave Status blank for normal duty; use OFF / ON/CALL / POST ON/CALL.</t>
        </is>
      </c>
    </row>
    <row r="10">
      <c r="A10" s="10" t="inlineStr">
        <is>
          <t>• Filter on Date or Doctor using header drop-downs.</t>
        </is>
      </c>
    </row>
    <row r="11">
      <c r="A11" s="10" t="inlineStr"/>
    </row>
    <row r="12">
      <c r="A12" s="11" t="inlineStr">
        <is>
          <t>Colour Legend:</t>
        </is>
      </c>
    </row>
    <row r="13">
      <c r="A13" s="10" t="inlineStr">
        <is>
          <t xml:space="preserve">  White / very light green alternation improves row tracking.</t>
        </is>
      </c>
    </row>
    <row r="14">
      <c r="A14" s="10" t="inlineStr">
        <is>
          <t xml:space="preserve">  Green header = structure; DO NOT rename columns.</t>
        </is>
      </c>
    </row>
    <row r="15">
      <c r="A15" s="10" t="inlineStr"/>
    </row>
    <row r="16">
      <c r="A16" s="11" t="inlineStr">
        <is>
          <t>Uploading:</t>
        </is>
      </c>
    </row>
    <row r="17">
      <c r="A17" s="10" t="inlineStr">
        <is>
          <t>1. Fill required cells.</t>
        </is>
      </c>
    </row>
    <row r="18">
      <c r="A18" s="10" t="inlineStr">
        <is>
          <t>2. Save as .xlsx.</t>
        </is>
      </c>
    </row>
    <row r="19">
      <c r="A19" s="10" t="inlineStr">
        <is>
          <t>3. Upload via Admin → Bulk Excel.</t>
        </is>
      </c>
    </row>
    <row r="20">
      <c r="A20" s="10" t="inlineStr">
        <is>
          <t>4. Verify preview status matrix.</t>
        </is>
      </c>
    </row>
    <row r="21">
      <c r="A21" s="10" t="inlineStr">
        <is>
          <t>5. Apply schedules.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2025-11-08T01:10:17Z</dcterms:created>
  <dcterms:modified xmlns:dcterms="http://purl.org/dc/terms/" xmlns:xsi="http://www.w3.org/2001/XMLSchema-instance" xsi:type="dcterms:W3CDTF">2025-11-08T01:10:18Z</dcterms:modified>
</cp:coreProperties>
</file>